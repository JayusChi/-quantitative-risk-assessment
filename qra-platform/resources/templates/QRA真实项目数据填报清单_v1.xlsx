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525d38060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73865ff9cb624239"/>
    <x:sheet xmlns:r="http://schemas.openxmlformats.org/officeDocument/2006/relationships" name="必填数据清单" sheetId="2" r:id="Rad6ea7eaaedc4644"/>
    <x:sheet xmlns:r="http://schemas.openxmlformats.org/officeDocument/2006/relationships" name="计算参数清单" sheetId="3" r:id="Rb341a31e68734f83"/>
    <x:sheet xmlns:r="http://schemas.openxmlformats.org/officeDocument/2006/relationships" name="条件指标清单" sheetId="4" r:id="R506b87032baf429b"/>
    <x:sheet xmlns:r="http://schemas.openxmlformats.org/officeDocument/2006/relationships" name="代码值与枚举" sheetId="5" r:id="Rbdf04b5158b64a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0"/>
      <x:color rgb="FFFFFFFF"/>
      <x:name val="Microsoft YaHei"/>
    </x:font>
    <x:font>
      <x:i/>
      <x:sz val="10"/>
      <x:color rgb="FF595959"/>
      <x:name val="Microsoft YaHei"/>
    </x:font>
    <x:font>
      <x:sz val="10"/>
      <x:name val="Microsoft YaHei"/>
    </x:font>
    <x:font>
      <x:b/>
      <x:sz val="10"/>
      <x:color rgb="FF17365D"/>
      <x:name val="Microsoft YaHei"/>
    </x:font>
    <x:font>
      <x:b/>
      <x:sz val="10"/>
      <x:color rgb="FF7F6000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  <x:fill>
      <x:patternFill patternType="solid">
        <x:fgColor rgb="FFDDEFE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7E6E6"/>
      </x:patternFill>
    </x:fill>
  </x:fills>
  <x:borders count="17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top style="thin">
        <x:color rgb="FFB7C9D6"/>
      </x:top>
    </x:border>
    <x:border>
      <x:left style="medium">
        <x:color rgb="FFBF9000"/>
      </x:left>
      <x:top style="medium">
        <x:color rgb="FFBF9000"/>
      </x:top>
    </x:border>
    <x:border>
      <x:top style="medium">
        <x:color rgb="FFBF9000"/>
      </x:top>
    </x:border>
    <x:border>
      <x:right style="medium">
        <x:color rgb="FFBF9000"/>
      </x:right>
      <x:top style="medium">
        <x:color rgb="FFBF9000"/>
      </x:top>
    </x:border>
    <x:border>
      <x:left style="medium">
        <x:color rgb="FFBF9000"/>
      </x:left>
    </x:border>
    <x:border>
      <x:right style="medium">
        <x:color rgb="FFBF9000"/>
      </x:right>
    </x:border>
    <x:border>
      <x:left style="medium">
        <x:color rgb="FFBF9000"/>
      </x:left>
      <x:bottom style="medium">
        <x:color rgb="FFBF9000"/>
      </x:bottom>
    </x:border>
    <x:border>
      <x:bottom style="medium">
        <x:color rgb="FFBF9000"/>
      </x:bottom>
    </x:border>
    <x:border>
      <x:right style="medium">
        <x:color rgb="FFBF9000"/>
      </x:right>
      <x:bottom style="medium">
        <x:color rgb="FFBF9000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7" borderId="3" xfId="0" applyNumberFormat="1" applyFont="1" applyFill="1" applyBorder="1"/>
    <x:xf numFmtId="0" fontId="0" fillId="8" borderId="4" xfId="0" applyNumberFormat="1" applyFont="1" applyFill="1" applyBorder="1"/>
    <x:xf numFmtId="0" fontId="0" fillId="0" borderId="4" xfId="0" applyNumberFormat="1" applyFont="1" applyFill="1" applyBorder="1"/>
    <x:xf numFmtId="0" fontId="0" fillId="9" borderId="4" xfId="0" applyNumberFormat="1" applyFont="1" applyFill="1" applyBorder="1"/>
    <x:xf numFmtId="0" fontId="0" fillId="10" borderId="5" xfId="0" applyNumberFormat="1" applyFont="1" applyFill="1" applyBorder="1"/>
    <x:xf numFmtId="0" fontId="0" fillId="0" borderId="5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/>
    <x:xf numFmtId="0" fontId="6" fillId="7" borderId="6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13" xfId="0" applyNumberFormat="1" applyFont="1" applyFill="1" applyBorder="1"/>
    <x:xf numFmtId="0" fontId="6" fillId="7" borderId="6" xfId="0" applyNumberFormat="1" applyFont="1" applyFill="1" applyBorder="1" applyAlignment="1">
      <x:alignment wrapText="1"/>
    </x:xf>
    <x:xf numFmtId="0" fontId="6" fillId="7" borderId="7" xfId="0" applyNumberFormat="1" applyFont="1" applyFill="1" applyBorder="1" applyAlignment="1">
      <x:alignment wrapText="1"/>
    </x:xf>
    <x:xf numFmtId="0" fontId="6" fillId="7" borderId="8" xfId="0" applyNumberFormat="1" applyFont="1" applyFill="1" applyBorder="1" applyAlignment="1">
      <x:alignment wrapText="1"/>
    </x:xf>
    <x:xf numFmtId="0" fontId="6" fillId="7" borderId="9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7" borderId="10" xfId="0" applyNumberFormat="1" applyFont="1" applyFill="1" applyBorder="1" applyAlignment="1">
      <x:alignment wrapText="1"/>
    </x:xf>
    <x:xf numFmtId="0" fontId="6" fillId="7" borderId="11" xfId="0" applyNumberFormat="1" applyFont="1" applyFill="1" applyBorder="1" applyAlignment="1">
      <x:alignment wrapText="1"/>
    </x:xf>
    <x:xf numFmtId="0" fontId="6" fillId="7" borderId="12" xfId="0" applyNumberFormat="1" applyFont="1" applyFill="1" applyBorder="1" applyAlignment="1">
      <x:alignment wrapText="1"/>
    </x:xf>
    <x:xf numFmtId="0" fontId="6" fillId="7" borderId="13" xfId="0" applyNumberFormat="1" applyFont="1" applyFill="1" applyBorder="1" applyAlignment="1">
      <x:alignment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7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9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10" xfId="0" applyNumberFormat="1" applyFont="1" applyFill="1" applyBorder="1" applyAlignment="1">
      <x:alignment vertical="center" wrapText="1"/>
    </x:xf>
    <x:xf numFmtId="0" fontId="6" fillId="7" borderId="11" xfId="0" applyNumberFormat="1" applyFont="1" applyFill="1" applyBorder="1" applyAlignment="1">
      <x:alignment vertical="center" wrapText="1"/>
    </x:xf>
    <x:xf numFmtId="0" fontId="6" fillId="7" borderId="12" xfId="0" applyNumberFormat="1" applyFont="1" applyFill="1" applyBorder="1" applyAlignment="1">
      <x:alignment vertical="center" wrapText="1"/>
    </x:xf>
    <x:xf numFmtId="0" fontId="6" fillId="7" borderId="13" xfId="0" applyNumberFormat="1" applyFont="1" applyFill="1" applyBorder="1" applyAlignment="1">
      <x:alignment vertical="center" wrapText="1"/>
    </x:xf>
    <x:xf numFmtId="0" fontId="3" fillId="6" borderId="14" xfId="0" applyNumberFormat="1" applyFont="1" applyFill="1" applyBorder="1"/>
    <x:xf numFmtId="0" fontId="3" fillId="6" borderId="14" xfId="0" applyNumberFormat="1" applyFont="1" applyFill="1" applyBorder="1" applyAlignment="1">
      <x:alignment wrapText="1"/>
    </x:xf>
    <x:xf numFmtId="0" fontId="3" fillId="6" borderId="14" xfId="0" applyNumberFormat="1" applyFont="1" applyFill="1" applyBorder="1" applyAlignment="1">
      <x:alignment horizont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vertical="center" wrapText="1"/>
    </x:xf>
    <x:xf numFmtId="201" fontId="0" fillId="7" borderId="15" xfId="0" applyNumberFormat="1" applyFont="1" applyFill="1" applyBorder="1" applyAlignment="1">
      <x:alignment vertical="center" wrapText="1"/>
    </x:xf>
    <x:xf numFmtId="201" fontId="0" fillId="7" borderId="16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7" fillId="6" borderId="14" xfId="0" applyNumberFormat="1" applyFont="1" applyFill="1" applyBorder="1" applyAlignment="1">
      <x:alignment horizontal="center" vertical="center" wrapText="1"/>
    </x:xf>
    <x:xf numFmtId="0" fontId="9" fillId="0" borderId="15" xfId="0" applyNumberFormat="1" applyFont="1" applyFill="1" applyBorder="1" applyAlignment="1">
      <x:alignment vertical="center" wrapText="1"/>
    </x:xf>
    <x:xf numFmtId="0" fontId="9" fillId="7" borderId="15" xfId="0" applyNumberFormat="1" applyFont="1" applyFill="1" applyBorder="1" applyAlignment="1">
      <x:alignment vertical="center" wrapText="1"/>
    </x:xf>
    <x:xf numFmtId="201" fontId="9" fillId="7" borderId="15" xfId="0" applyNumberFormat="1" applyFont="1" applyFill="1" applyBorder="1" applyAlignment="1">
      <x:alignment vertical="center" wrapText="1"/>
    </x:xf>
    <x:xf numFmtId="0" fontId="9" fillId="0" borderId="16" xfId="0" applyNumberFormat="1" applyFont="1" applyFill="1" applyBorder="1" applyAlignment="1">
      <x:alignment vertical="center" wrapText="1"/>
    </x:xf>
    <x:xf numFmtId="0" fontId="9" fillId="7" borderId="16" xfId="0" applyNumberFormat="1" applyFont="1" applyFill="1" applyBorder="1" applyAlignment="1">
      <x:alignment vertical="center" wrapText="1"/>
    </x:xf>
    <x:xf numFmtId="201" fontId="9" fillId="7" borderId="16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/>
    </x:xf>
    <x:xf numFmtId="0" fontId="10" fillId="5" borderId="1" xfId="0" applyNumberFormat="1" applyFont="1" applyFill="1" applyBorder="1" applyAlignment="1">
      <x:alignment horizontal="center" vertical="center"/>
    </x:xf>
    <x:xf numFmtId="0" fontId="10" fillId="5" borderId="2" xfId="0" applyNumberFormat="1" applyFont="1" applyFill="1" applyBorder="1" applyAlignment="1">
      <x:alignment horizontal="center" vertical="center"/>
    </x:xf>
    <x:xf numFmtId="200" fontId="10" fillId="5" borderId="1" xfId="0" applyNumberFormat="1" applyFont="1" applyFill="1" applyBorder="1" applyAlignment="1">
      <x:alignment horizontal="center" vertical="center"/>
    </x:xf>
    <x:xf numFmtId="200" fontId="10" fillId="5" borderId="2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9" fillId="0" borderId="3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/>
    <x:xf numFmtId="0" fontId="9" fillId="0" borderId="3" xfId="0" applyNumberFormat="1" applyFont="1" applyFill="1" applyBorder="1"/>
    <x:xf numFmtId="0" fontId="9" fillId="8" borderId="4" xfId="0" applyNumberFormat="1" applyFont="1" applyFill="1" applyBorder="1"/>
    <x:xf numFmtId="0" fontId="9" fillId="0" borderId="4" xfId="0" applyNumberFormat="1" applyFont="1" applyFill="1" applyBorder="1"/>
    <x:xf numFmtId="0" fontId="9" fillId="9" borderId="4" xfId="0" applyNumberFormat="1" applyFont="1" applyFill="1" applyBorder="1"/>
    <x:xf numFmtId="0" fontId="9" fillId="10" borderId="5" xfId="0" applyNumberFormat="1" applyFont="1" applyFill="1" applyBorder="1"/>
    <x:xf numFmtId="0" fontId="9" fillId="0" borderId="5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vertical="center" wrapText="1"/>
    </x:xf>
    <x:xf numFmtId="0" fontId="11" fillId="7" borderId="7" xfId="0" applyNumberFormat="1" applyFont="1" applyFill="1" applyBorder="1" applyAlignment="1">
      <x:alignment vertical="center" wrapText="1"/>
    </x:xf>
    <x:xf numFmtId="0" fontId="11" fillId="7" borderId="8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1" fillId="7" borderId="10" xfId="0" applyNumberFormat="1" applyFont="1" applyFill="1" applyBorder="1" applyAlignment="1">
      <x:alignment vertical="center" wrapText="1"/>
    </x:xf>
    <x:xf numFmtId="0" fontId="11" fillId="7" borderId="11" xfId="0" applyNumberFormat="1" applyFont="1" applyFill="1" applyBorder="1" applyAlignment="1">
      <x:alignment vertical="center" wrapText="1"/>
    </x:xf>
    <x:xf numFmtId="0" fontId="11" fillId="7" borderId="12" xfId="0" applyNumberFormat="1" applyFont="1" applyFill="1" applyBorder="1" applyAlignment="1">
      <x:alignment vertical="center" wrapText="1"/>
    </x:xf>
    <x:xf numFmtId="0" fontId="11" fillId="7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7e44ce9404a25" /><Relationship Type="http://schemas.openxmlformats.org/officeDocument/2006/relationships/theme" Target="/xl/theme/theme1.xml" Id="Rf9168677bee04c16" /><Relationship Type="http://schemas.openxmlformats.org/officeDocument/2006/relationships/sharedStrings" Target="/xl/sharedStrings.xml" Id="R5188b31af5a94948" /><Relationship Type="http://schemas.openxmlformats.org/officeDocument/2006/relationships/worksheet" Target="/xl/worksheets/sheet1.xml" Id="R73865ff9cb624239" /><Relationship Type="http://schemas.openxmlformats.org/officeDocument/2006/relationships/worksheet" Target="/xl/worksheets/sheet2.xml" Id="Rad6ea7eaaedc4644" /><Relationship Type="http://schemas.openxmlformats.org/officeDocument/2006/relationships/worksheet" Target="/xl/worksheets/sheet3.xml" Id="Rb341a31e68734f83" /><Relationship Type="http://schemas.openxmlformats.org/officeDocument/2006/relationships/worksheet" Target="/xl/worksheets/sheet4.xml" Id="R506b87032baf429b" /><Relationship Type="http://schemas.openxmlformats.org/officeDocument/2006/relationships/worksheet" Target="/xl/worksheets/sheet5.xml" Id="Rbdf04b5158b64a33" /></Relationships>
</file>

<file path=xl/tables/table1.xml><?xml version="1.0" encoding="utf-8"?>
<x:table xmlns:x="http://schemas.openxmlformats.org/spreadsheetml/2006/main" id="1" name="RequiredIndicatorsTable" displayName="RequiredIndicatorsTable" ref="A4:Q66" headerRowCount="1" totalsRowCount="0" totalsRowShown="0">
  <x:tableColumns count="17">
    <x:tableColumn id="1" name="序号"/>
    <x:tableColumn id="2" name="指标组"/>
    <x:tableColumn id="3" name="指标ID"/>
    <x:tableColumn id="4" name="中文名称"/>
    <x:tableColumn id="5" name="填报层级"/>
    <x:tableColumn id="6" name="数据类型"/>
    <x:tableColumn id="7" name="单位"/>
    <x:tableColumn id="8" name="当前JSON路径"/>
    <x:tableColumn id="9" name="真实值/文件引用"/>
    <x:tableColumn id="10" name="质量等级"/>
    <x:tableColumn id="11" name="数据日期"/>
    <x:tableColumn id="12" name="数据来源/文件编号"/>
    <x:tableColumn id="13" name="填报人"/>
    <x:tableColumn id="14" name="审核状态"/>
    <x:tableColumn id="15" name="备注"/>
    <x:tableColumn id="16" name="标准依据"/>
    <x:tableColumn id="17" name="完整性检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elParametersTable" displayName="ModelParametersTable" ref="A4:K21" headerRowCount="1" totalsRowCount="0" totalsRowShown="0">
  <x:tableColumns count="11">
    <x:tableColumn id="1" name="序号"/>
    <x:tableColumn id="2" name="类别"/>
    <x:tableColumn id="3" name="数据项目"/>
    <x:tableColumn id="4" name="当前JSON路径"/>
    <x:tableColumn id="5" name="填报层级"/>
    <x:tableColumn id="6" name="单位/形式"/>
    <x:tableColumn id="7" name="真实值或参数文件"/>
    <x:tableColumn id="8" name="数据来源/校准依据"/>
    <x:tableColumn id="9" name="批准状态"/>
    <x:tableColumn id="10" name="说明"/>
    <x:tableColumn id="11" name="完整性检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nditionalIndicatorsTable" displayName="ConditionalIndicatorsTable" ref="A4:T188" headerRowCount="1" totalsRowCount="0" totalsRowShown="0">
  <x:tableColumns count="20">
    <x:tableColumn id="1" name="序号"/>
    <x:tableColumn id="2" name="指标组"/>
    <x:tableColumn id="3" name="指标ID"/>
    <x:tableColumn id="4" name="中文名称"/>
    <x:tableColumn id="5" name="填报层级"/>
    <x:tableColumn id="6" name="数据类型"/>
    <x:tableColumn id="7" name="单位"/>
    <x:tableColumn id="8" name="用途角色"/>
    <x:tableColumn id="9" name="相关失效机理"/>
    <x:tableColumn id="10" name="当前JSON路径"/>
    <x:tableColumn id="11" name="适用性判定"/>
    <x:tableColumn id="12" name="判定依据"/>
    <x:tableColumn id="13" name="真实值/文件引用"/>
    <x:tableColumn id="14" name="质量等级"/>
    <x:tableColumn id="15" name="数据日期"/>
    <x:tableColumn id="16" name="数据来源/文件编号"/>
    <x:tableColumn id="17" name="填报人"/>
    <x:tableColumn id="18" name="审核状态"/>
    <x:tableColumn id="19" name="完整性检查"/>
    <x:tableColumn id="20" name="标准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deValuesTable" displayName="CodeValuesTable" ref="A4:F20" headerRowCount="1" totalsRowCount="0" totalsRowShown="0">
  <x:tableColumns count="6">
    <x:tableColumn id="1" name="类别"/>
    <x:tableColumn id="2" name="代码值"/>
    <x:tableColumn id="3" name="中文含义"/>
    <x:tableColumn id="4" name="最低要求/使用场景"/>
    <x:tableColumn id="5" name="是否允许正式使用"/>
    <x:tableColumn id="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86e84675ac43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6e3c9b1bac4e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72752041e14d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afdc4cd4d840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9" hidden="0" customWidth="1"/>
    <x:col min="4" max="4" width="25" hidden="0" customWidth="1"/>
    <x:col min="5" max="5" width="9" hidden="0" customWidth="1"/>
    <x:col min="6" max="6" width="25" hidden="0" customWidth="1"/>
    <x:col min="7" max="7" width="9" hidden="0" customWidth="1"/>
    <x:col min="8" max="8" width="25" hidden="0" customWidth="1"/>
  </x:cols>
  <x:sheetData>
    <x:row r="1" ht="30" customHeight="1">
      <x:c r="A1" s="81" t="str">
        <x:v>天然气管道QRA真实项目数据填报清单</x:v>
      </x:c>
      <x:c r="B1" s="81" t="str">
        <x:v>天然气管道QRA真实项目数据填报清单</x:v>
      </x:c>
      <x:c r="C1" s="81" t="str">
        <x:v>天然气管道QRA真实项目数据填报清单</x:v>
      </x:c>
      <x:c r="D1" s="81" t="str">
        <x:v>天然气管道QRA真实项目数据填报清单</x:v>
      </x:c>
      <x:c r="E1" s="81" t="str">
        <x:v>天然气管道QRA真实项目数据填报清单</x:v>
      </x:c>
      <x:c r="F1" s="81" t="str">
        <x:v>天然气管道QRA真实项目数据填报清单</x:v>
      </x:c>
      <x:c r="G1" s="81" t="str">
        <x:v>天然气管道QRA真实项目数据填报清单</x:v>
      </x:c>
      <x:c r="H1" s="81" t="str">
        <x:v>天然气管道QRA真实项目数据填报清单</x:v>
      </x:c>
    </x:row>
    <x:row r="2" ht="32" customHeight="1">
      <x:c r="A2" s="82" t="str">
        <x:v>适用于计算引擎 v0.3.0。黄色单元格由项目人员填写；本表不允许直接沿用合成测试值。</x:v>
      </x:c>
      <x:c r="B2" s="82" t="str">
        <x:v>适用于计算引擎 v0.3.0。黄色单元格由项目人员填写；本表不允许直接沿用合成测试值。</x:v>
      </x:c>
      <x:c r="C2" s="82" t="str">
        <x:v>适用于计算引擎 v0.3.0。黄色单元格由项目人员填写；本表不允许直接沿用合成测试值。</x:v>
      </x:c>
      <x:c r="D2" s="82" t="str">
        <x:v>适用于计算引擎 v0.3.0。黄色单元格由项目人员填写；本表不允许直接沿用合成测试值。</x:v>
      </x:c>
      <x:c r="E2" s="82" t="str">
        <x:v>适用于计算引擎 v0.3.0。黄色单元格由项目人员填写；本表不允许直接沿用合成测试值。</x:v>
      </x:c>
      <x:c r="F2" s="82" t="str">
        <x:v>适用于计算引擎 v0.3.0。黄色单元格由项目人员填写；本表不允许直接沿用合成测试值。</x:v>
      </x:c>
      <x:c r="G2" s="82" t="str">
        <x:v>适用于计算引擎 v0.3.0。黄色单元格由项目人员填写；本表不允许直接沿用合成测试值。</x:v>
      </x:c>
      <x:c r="H2" s="82" t="str">
        <x:v>适用于计算引擎 v0.3.0。黄色单元格由项目人员填写；本表不允许直接沿用合成测试值。</x:v>
      </x:c>
    </x:row>
    <x:row r="3">
      <x:c r="A3" s="83"/>
      <x:c r="B3" s="83"/>
      <x:c r="C3" s="83"/>
      <x:c r="D3" s="83"/>
      <x:c r="E3" s="83"/>
      <x:c r="F3" s="83"/>
      <x:c r="G3" s="83"/>
      <x:c r="H3" s="83"/>
    </x:row>
    <x:row r="4">
      <x:c r="A4" s="91" t="str">
        <x:v>必填指标总数</x:v>
      </x:c>
      <x:c r="B4" s="91" t="str">
        <x:v>必填指标总数</x:v>
      </x:c>
      <x:c r="C4" s="91" t="str">
        <x:v>已填写真实值</x:v>
      </x:c>
      <x:c r="D4" s="91" t="str">
        <x:v>已填写真实值</x:v>
      </x:c>
      <x:c r="E4" s="91" t="str">
        <x:v>完成率</x:v>
      </x:c>
      <x:c r="F4" s="91" t="str">
        <x:v>完成率</x:v>
      </x:c>
      <x:c r="G4" s="91" t="str">
        <x:v>缺失真实值</x:v>
      </x:c>
      <x:c r="H4" s="91" t="str">
        <x:v>缺失真实值</x:v>
      </x:c>
    </x:row>
    <x:row r="5">
      <x:c r="A5" s="92" t="n">
        <x:f>COUNTA('必填数据清单'!$A$5:$A$66)</x:f>
        <x:v>62</x:v>
      </x:c>
      <x:c r="B5" s="93"/>
      <x:c r="C5" s="92" t="n">
        <x:f>COUNTA('必填数据清单'!$I$5:$I$66)</x:f>
        <x:v>0</x:v>
      </x:c>
      <x:c r="D5" s="93"/>
      <x:c r="E5" s="94" t="n">
        <x:f>IFERROR(C5/A5,0)</x:f>
        <x:v>0</x:v>
      </x:c>
      <x:c r="F5" s="95"/>
      <x:c r="G5" s="92" t="n">
        <x:f>A5-C5</x:f>
        <x:v>62</x:v>
      </x:c>
      <x:c r="H5" s="93"/>
    </x:row>
    <x:row r="6">
      <x:c r="A6" s="83"/>
      <x:c r="B6" s="83"/>
      <x:c r="C6" s="83"/>
      <x:c r="D6" s="83"/>
      <x:c r="E6" s="83"/>
      <x:c r="F6" s="83"/>
      <x:c r="G6" s="83"/>
      <x:c r="H6" s="83"/>
    </x:row>
    <x:row r="7">
      <x:c r="A7" s="96" t="str">
        <x:v>填报流程</x:v>
      </x:c>
      <x:c r="B7" s="96" t="str">
        <x:v>填报流程</x:v>
      </x:c>
      <x:c r="C7" s="96" t="str">
        <x:v>填报流程</x:v>
      </x:c>
      <x:c r="D7" s="96" t="str">
        <x:v>填报流程</x:v>
      </x:c>
      <x:c r="E7" s="96" t="str">
        <x:v>填报流程</x:v>
      </x:c>
      <x:c r="F7" s="96" t="str">
        <x:v>填报流程</x:v>
      </x:c>
      <x:c r="G7" s="96" t="str">
        <x:v>填报流程</x:v>
      </x:c>
      <x:c r="H7" s="96" t="str">
        <x:v>填报流程</x:v>
      </x:c>
    </x:row>
    <x:row r="8" ht="30" customHeight="1">
      <x:c r="A8" s="97" t="str">
        <x:v>1</x:v>
      </x:c>
      <x:c r="B8" s="98" t="str">
        <x:v>先在“必填数据清单”填写62项最低必需数据，并补齐质量等级、日期、来源、填报人和审核状态。</x:v>
      </x:c>
      <x:c r="C8" s="98"/>
      <x:c r="D8" s="98"/>
      <x:c r="E8" s="98"/>
      <x:c r="F8" s="98"/>
      <x:c r="G8" s="98"/>
      <x:c r="H8" s="98"/>
    </x:row>
    <x:row r="9" ht="30" customHeight="1">
      <x:c r="A9" s="97" t="str">
        <x:v>2</x:v>
      </x:c>
      <x:c r="B9" s="98" t="str">
        <x:v>在“计算参数清单”准备失效频率库、孔径比例、K_j、点火、爆炸和风险准则；这些参数应由专业人员批准。</x:v>
      </x:c>
      <x:c r="C9" s="98"/>
      <x:c r="D9" s="98"/>
      <x:c r="E9" s="98"/>
      <x:c r="F9" s="98"/>
      <x:c r="G9" s="98"/>
      <x:c r="H9" s="98"/>
    </x:row>
    <x:row r="10" ht="30" customHeight="1">
      <x:c r="A10" s="97" t="str">
        <x:v>3</x:v>
      </x:c>
      <x:c r="B10" s="98" t="str">
        <x:v>逐项审查“条件指标清单”：选择“适用”或“不适用”；不适用必须填写判定依据，适用则必须提供真实值和证据。</x:v>
      </x:c>
      <x:c r="C10" s="98"/>
      <x:c r="D10" s="98"/>
      <x:c r="E10" s="98"/>
      <x:c r="F10" s="98"/>
      <x:c r="G10" s="98"/>
      <x:c r="H10" s="98"/>
    </x:row>
    <x:row r="11" ht="30" customHeight="1">
      <x:c r="A11" s="97" t="str">
        <x:v>4</x:v>
      </x:c>
      <x:c r="B11" s="98" t="str">
        <x:v>任何SYNTHETIC_TEST_ONLY、TEST_PARAMETER_SET或synthetic://来源都不能进入真实项目计算。</x:v>
      </x:c>
      <x:c r="C11" s="98"/>
      <x:c r="D11" s="98"/>
      <x:c r="E11" s="98"/>
      <x:c r="F11" s="98"/>
      <x:c r="G11" s="98"/>
      <x:c r="H11" s="98"/>
    </x:row>
    <x:row r="12" ht="30" customHeight="1">
      <x:c r="A12" s="97" t="str">
        <x:v>5</x:v>
      </x:c>
      <x:c r="B12" s="98" t="str">
        <x:v>输入真实数据并不自动意味着可签发正式报告；模型验证、参数审批和计算收敛仍须完成。</x:v>
      </x:c>
      <x:c r="C12" s="98"/>
      <x:c r="D12" s="98"/>
      <x:c r="E12" s="98"/>
      <x:c r="F12" s="98"/>
      <x:c r="G12" s="98"/>
      <x:c r="H12" s="98"/>
    </x:row>
    <x:row r="13">
      <x:c r="A13" s="83"/>
      <x:c r="B13" s="83"/>
      <x:c r="C13" s="83"/>
      <x:c r="D13" s="83"/>
      <x:c r="E13" s="83"/>
      <x:c r="F13" s="83"/>
      <x:c r="G13" s="83"/>
      <x:c r="H13" s="83"/>
    </x:row>
    <x:row r="14">
      <x:c r="A14" s="96" t="str">
        <x:v>颜色说明</x:v>
      </x:c>
      <x:c r="B14" s="96" t="str">
        <x:v>颜色说明</x:v>
      </x:c>
      <x:c r="C14" s="96" t="str">
        <x:v>颜色说明</x:v>
      </x:c>
      <x:c r="D14" s="96" t="str">
        <x:v>颜色说明</x:v>
      </x:c>
      <x:c r="E14" s="96" t="str">
        <x:v>颜色说明</x:v>
      </x:c>
      <x:c r="F14" s="96" t="str">
        <x:v>颜色说明</x:v>
      </x:c>
      <x:c r="G14" s="96" t="str">
        <x:v>颜色说明</x:v>
      </x:c>
      <x:c r="H14" s="96" t="str">
        <x:v>颜色说明</x:v>
      </x:c>
    </x:row>
    <x:row r="15">
      <x:c r="A15" s="99" t="str">
        <x:v>黄色</x:v>
      </x:c>
      <x:c r="B15" s="100" t="str">
        <x:v>需要项目人员填写或选择</x:v>
      </x:c>
      <x:c r="C15" s="100"/>
      <x:c r="D15" s="100"/>
      <x:c r="E15" s="100"/>
      <x:c r="F15" s="100"/>
      <x:c r="G15" s="100"/>
      <x:c r="H15" s="100"/>
    </x:row>
    <x:row r="16">
      <x:c r="A16" s="101" t="str">
        <x:v>绿色</x:v>
      </x:c>
      <x:c r="B16" s="102" t="str">
        <x:v>数据、来源和审核状态完整</x:v>
      </x:c>
      <x:c r="C16" s="102"/>
      <x:c r="D16" s="102"/>
      <x:c r="E16" s="102"/>
      <x:c r="F16" s="102"/>
      <x:c r="G16" s="102"/>
      <x:c r="H16" s="102"/>
    </x:row>
    <x:row r="17">
      <x:c r="A17" s="103" t="str">
        <x:v>橙红色</x:v>
      </x:c>
      <x:c r="B17" s="102" t="str">
        <x:v>存在缺值、缺来源或适用条件指标未填写</x:v>
      </x:c>
      <x:c r="C17" s="102"/>
      <x:c r="D17" s="102"/>
      <x:c r="E17" s="102"/>
      <x:c r="F17" s="102"/>
      <x:c r="G17" s="102"/>
      <x:c r="H17" s="102"/>
    </x:row>
    <x:row r="18">
      <x:c r="A18" s="104" t="str">
        <x:v>灰色</x:v>
      </x:c>
      <x:c r="B18" s="105" t="str">
        <x:v>条件指标尚未进行适用性判定</x:v>
      </x:c>
      <x:c r="C18" s="105"/>
      <x:c r="D18" s="105"/>
      <x:c r="E18" s="105"/>
      <x:c r="F18" s="105"/>
      <x:c r="G18" s="105"/>
      <x:c r="H18" s="105"/>
    </x:row>
    <x:row r="19">
      <x:c r="A19" s="83"/>
      <x:c r="B19" s="83"/>
      <x:c r="C19" s="83"/>
      <x:c r="D19" s="83"/>
      <x:c r="E19" s="83"/>
      <x:c r="F19" s="83"/>
      <x:c r="G19" s="83"/>
      <x:c r="H19" s="83"/>
    </x:row>
    <x:row r="20">
      <x:c r="A20" s="96" t="str">
        <x:v>条件指标状态</x:v>
      </x:c>
      <x:c r="B20" s="96" t="str">
        <x:v>条件指标状态</x:v>
      </x:c>
      <x:c r="C20" s="96" t="str">
        <x:v>条件指标状态</x:v>
      </x:c>
      <x:c r="D20" s="96" t="str">
        <x:v>条件指标状态</x:v>
      </x:c>
      <x:c r="E20" s="96" t="str">
        <x:v>条件指标状态</x:v>
      </x:c>
      <x:c r="F20" s="96" t="str">
        <x:v>条件指标状态</x:v>
      </x:c>
      <x:c r="G20" s="96" t="str">
        <x:v>条件指标状态</x:v>
      </x:c>
      <x:c r="H20" s="96" t="str">
        <x:v>条件指标状态</x:v>
      </x:c>
    </x:row>
    <x:row r="21">
      <x:c r="A21" s="91" t="str">
        <x:v>条件指标总数</x:v>
      </x:c>
      <x:c r="B21" s="91" t="str">
        <x:v>条件指标总数</x:v>
      </x:c>
      <x:c r="C21" s="91" t="str">
        <x:v>已完成适用性判定</x:v>
      </x:c>
      <x:c r="D21" s="91" t="str">
        <x:v>已完成适用性判定</x:v>
      </x:c>
      <x:c r="E21" s="91" t="str">
        <x:v>判定为适用</x:v>
      </x:c>
      <x:c r="F21" s="91" t="str">
        <x:v>判定为适用</x:v>
      </x:c>
      <x:c r="G21" s="91" t="str">
        <x:v>适用且完整</x:v>
      </x:c>
      <x:c r="H21" s="91" t="str">
        <x:v>适用且完整</x:v>
      </x:c>
    </x:row>
    <x:row r="22">
      <x:c r="A22" s="106" t="n">
        <x:f>COUNTA('条件指标清单'!$A$5:$A$188)</x:f>
        <x:v>184</x:v>
      </x:c>
      <x:c r="B22" s="106"/>
      <x:c r="C22" s="106" t="n">
        <x:f>COUNTIF('条件指标清单'!$K$5:$K$188,"&lt;&gt;未判定")</x:f>
        <x:v>0</x:v>
      </x:c>
      <x:c r="D22" s="106"/>
      <x:c r="E22" s="106" t="n">
        <x:f>COUNTIF('条件指标清单'!$K$5:$K$188,"适用")</x:f>
        <x:v>0</x:v>
      </x:c>
      <x:c r="F22" s="106"/>
      <x:c r="G22" s="106" t="n">
        <x:f>COUNTIF('条件指标清单'!$S$5:$S$188,"完整")</x:f>
        <x:v>0</x:v>
      </x:c>
      <x:c r="H22" s="106"/>
    </x:row>
    <x:row r="23">
      <x:c r="A23" s="83"/>
      <x:c r="B23" s="83"/>
      <x:c r="C23" s="83"/>
      <x:c r="D23" s="83"/>
      <x:c r="E23" s="83"/>
      <x:c r="F23" s="83"/>
      <x:c r="G23" s="83"/>
      <x:c r="H23" s="83"/>
    </x:row>
    <x:row r="24">
      <x:c r="A24" s="107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B24" s="108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C24" s="108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D24" s="108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E24" s="108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F24" s="108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G24" s="108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H24" s="109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</x:row>
    <x:row r="25">
      <x:c r="A25" s="110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B25" s="111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C25" s="111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D25" s="111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E25" s="111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F25" s="111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G25" s="111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H25" s="112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</x:row>
    <x:row r="26">
      <x:c r="A26" s="113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B26" s="114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C26" s="114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D26" s="114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E26" s="114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F26" s="114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G26" s="114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  <x:c r="H26" s="115" t="str">
        <x:v>正式使用边界：SY/T 6891.2附录A定义K_j(a1,a2,...)的作用，但未给出所有管道通用的指标权重。K_j必须来自获批项目因子或使用适用失效数据校准的模型。当前人员后果链仍处于独立验证阶段。</x:v>
      </x:c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7:H7"/>
    <x:mergeCell ref="B8:H8"/>
    <x:mergeCell ref="B9:H9"/>
    <x:mergeCell ref="B10:H10"/>
    <x:mergeCell ref="B11:H11"/>
    <x:mergeCell ref="B12:H12"/>
    <x:mergeCell ref="A14:H14"/>
    <x:mergeCell ref="B15:H15"/>
    <x:mergeCell ref="B16:H16"/>
    <x:mergeCell ref="B17:H17"/>
    <x:mergeCell ref="B18:H18"/>
    <x:mergeCell ref="A20:H20"/>
    <x:mergeCell ref="A21:B21"/>
    <x:mergeCell ref="A22:B22"/>
    <x:mergeCell ref="C21:D21"/>
    <x:mergeCell ref="C22:D22"/>
    <x:mergeCell ref="E21:F21"/>
    <x:mergeCell ref="E22:F22"/>
    <x:mergeCell ref="G21:H21"/>
    <x:mergeCell ref="G22:H22"/>
    <x:mergeCell ref="A24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38" hidden="0" customWidth="1"/>
    <x:col min="4" max="4" width="24" hidden="0" customWidth="1"/>
    <x:col min="5" max="5" width="18" hidden="0" customWidth="1"/>
    <x:col min="6" max="6" width="12" hidden="0" customWidth="1"/>
    <x:col min="7" max="7" width="12" hidden="0" customWidth="1"/>
    <x:col min="8" max="8" width="48" hidden="0" customWidth="1"/>
    <x:col min="9" max="9" width="24" hidden="0" customWidth="1"/>
    <x:col min="10" max="10" width="11" hidden="0" customWidth="1"/>
    <x:col min="11" max="11" width="13" hidden="0" customWidth="1"/>
    <x:col min="12" max="12" width="28" hidden="0" customWidth="1"/>
    <x:col min="13" max="13" width="12" hidden="0" customWidth="1"/>
    <x:col min="14" max="14" width="13" hidden="0" customWidth="1"/>
    <x:col min="15" max="15" width="24" hidden="0" customWidth="1"/>
    <x:col min="16" max="16" width="46" hidden="0" customWidth="1"/>
    <x:col min="17" max="17" width="15" hidden="0" customWidth="1"/>
  </x:cols>
  <x:sheetData>
    <x:row r="1" ht="30" customHeight="1">
      <x:c r="A1" s="81" t="str">
        <x:v>62项最低必需数据</x:v>
      </x:c>
      <x:c r="B1" s="81" t="str">
        <x:v>62项最低必需数据</x:v>
      </x:c>
      <x:c r="C1" s="81" t="str">
        <x:v>62项最低必需数据</x:v>
      </x:c>
      <x:c r="D1" s="81" t="str">
        <x:v>62项最低必需数据</x:v>
      </x:c>
      <x:c r="E1" s="81" t="str">
        <x:v>62项最低必需数据</x:v>
      </x:c>
      <x:c r="F1" s="81" t="str">
        <x:v>62项最低必需数据</x:v>
      </x:c>
      <x:c r="G1" s="81" t="str">
        <x:v>62项最低必需数据</x:v>
      </x:c>
      <x:c r="H1" s="81" t="str">
        <x:v>62项最低必需数据</x:v>
      </x:c>
      <x:c r="I1" s="81" t="str">
        <x:v>62项最低必需数据</x:v>
      </x:c>
      <x:c r="J1" s="81" t="str">
        <x:v>62项最低必需数据</x:v>
      </x:c>
      <x:c r="K1" s="81" t="str">
        <x:v>62项最低必需数据</x:v>
      </x:c>
      <x:c r="L1" s="81" t="str">
        <x:v>62项最低必需数据</x:v>
      </x:c>
      <x:c r="M1" s="81" t="str">
        <x:v>62项最低必需数据</x:v>
      </x:c>
      <x:c r="N1" s="81" t="str">
        <x:v>62项最低必需数据</x:v>
      </x:c>
      <x:c r="O1" s="81" t="str">
        <x:v>62项最低必需数据</x:v>
      </x:c>
      <x:c r="P1" s="81" t="str">
        <x:v>62项最低必需数据</x:v>
      </x:c>
      <x:c r="Q1" s="81" t="str">
        <x:v>62项最低必需数据</x:v>
      </x:c>
    </x:row>
    <x:row r="2" ht="32" customHeight="1">
      <x:c r="A2" s="82" t="str">
        <x:v>每条数据必须填写真实值、质量等级、数据日期、来源和责任人。直接映射路径表示引擎当前JSON中的位置；“显式观测”写入engineering_indicators。</x:v>
      </x:c>
      <x:c r="B2" s="82" t="str">
        <x:v>每条数据必须填写真实值、质量等级、数据日期、来源和责任人。直接映射路径表示引擎当前JSON中的位置；“显式观测”写入engineering_indicators。</x:v>
      </x:c>
      <x:c r="C2" s="82" t="str">
        <x:v>每条数据必须填写真实值、质量等级、数据日期、来源和责任人。直接映射路径表示引擎当前JSON中的位置；“显式观测”写入engineering_indicators。</x:v>
      </x:c>
      <x:c r="D2" s="82" t="str">
        <x:v>每条数据必须填写真实值、质量等级、数据日期、来源和责任人。直接映射路径表示引擎当前JSON中的位置；“显式观测”写入engineering_indicators。</x:v>
      </x:c>
      <x:c r="E2" s="82" t="str">
        <x:v>每条数据必须填写真实值、质量等级、数据日期、来源和责任人。直接映射路径表示引擎当前JSON中的位置；“显式观测”写入engineering_indicators。</x:v>
      </x:c>
      <x:c r="F2" s="82" t="str">
        <x:v>每条数据必须填写真实值、质量等级、数据日期、来源和责任人。直接映射路径表示引擎当前JSON中的位置；“显式观测”写入engineering_indicators。</x:v>
      </x:c>
      <x:c r="G2" s="82" t="str">
        <x:v>每条数据必须填写真实值、质量等级、数据日期、来源和责任人。直接映射路径表示引擎当前JSON中的位置；“显式观测”写入engineering_indicators。</x:v>
      </x:c>
      <x:c r="H2" s="82" t="str">
        <x:v>每条数据必须填写真实值、质量等级、数据日期、来源和责任人。直接映射路径表示引擎当前JSON中的位置；“显式观测”写入engineering_indicators。</x:v>
      </x:c>
      <x:c r="I2" s="82" t="str">
        <x:v>每条数据必须填写真实值、质量等级、数据日期、来源和责任人。直接映射路径表示引擎当前JSON中的位置；“显式观测”写入engineering_indicators。</x:v>
      </x:c>
      <x:c r="J2" s="82" t="str">
        <x:v>每条数据必须填写真实值、质量等级、数据日期、来源和责任人。直接映射路径表示引擎当前JSON中的位置；“显式观测”写入engineering_indicators。</x:v>
      </x:c>
      <x:c r="K2" s="82" t="str">
        <x:v>每条数据必须填写真实值、质量等级、数据日期、来源和责任人。直接映射路径表示引擎当前JSON中的位置；“显式观测”写入engineering_indicators。</x:v>
      </x:c>
      <x:c r="L2" s="82" t="str">
        <x:v>每条数据必须填写真实值、质量等级、数据日期、来源和责任人。直接映射路径表示引擎当前JSON中的位置；“显式观测”写入engineering_indicators。</x:v>
      </x:c>
      <x:c r="M2" s="82" t="str">
        <x:v>每条数据必须填写真实值、质量等级、数据日期、来源和责任人。直接映射路径表示引擎当前JSON中的位置；“显式观测”写入engineering_indicators。</x:v>
      </x:c>
      <x:c r="N2" s="82" t="str">
        <x:v>每条数据必须填写真实值、质量等级、数据日期、来源和责任人。直接映射路径表示引擎当前JSON中的位置；“显式观测”写入engineering_indicators。</x:v>
      </x:c>
      <x:c r="O2" s="82" t="str">
        <x:v>每条数据必须填写真实值、质量等级、数据日期、来源和责任人。直接映射路径表示引擎当前JSON中的位置；“显式观测”写入engineering_indicators。</x:v>
      </x:c>
      <x:c r="P2" s="82" t="str">
        <x:v>每条数据必须填写真实值、质量等级、数据日期、来源和责任人。直接映射路径表示引擎当前JSON中的位置；“显式观测”写入engineering_indicators。</x:v>
      </x:c>
      <x:c r="Q2" s="82" t="str">
        <x:v>每条数据必须填写真实值、质量等级、数据日期、来源和责任人。直接映射路径表示引擎当前JSON中的位置；“显式观测”写入engineering_indicators。</x:v>
      </x:c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</x:row>
    <x:row r="4" ht="32" customHeight="1">
      <x:c r="A4" s="84" t="str">
        <x:v>序号</x:v>
      </x:c>
      <x:c r="B4" s="84" t="str">
        <x:v>指标组</x:v>
      </x:c>
      <x:c r="C4" s="84" t="str">
        <x:v>指标ID</x:v>
      </x:c>
      <x:c r="D4" s="84" t="str">
        <x:v>中文名称</x:v>
      </x:c>
      <x:c r="E4" s="84" t="str">
        <x:v>填报层级</x:v>
      </x:c>
      <x:c r="F4" s="84" t="str">
        <x:v>数据类型</x:v>
      </x:c>
      <x:c r="G4" s="84" t="str">
        <x:v>单位</x:v>
      </x:c>
      <x:c r="H4" s="84" t="str">
        <x:v>当前JSON路径</x:v>
      </x:c>
      <x:c r="I4" s="84" t="str">
        <x:v>真实值/文件引用</x:v>
      </x:c>
      <x:c r="J4" s="84" t="str">
        <x:v>质量等级</x:v>
      </x:c>
      <x:c r="K4" s="84" t="str">
        <x:v>数据日期</x:v>
      </x:c>
      <x:c r="L4" s="84" t="str">
        <x:v>数据来源/文件编号</x:v>
      </x:c>
      <x:c r="M4" s="84" t="str">
        <x:v>填报人</x:v>
      </x:c>
      <x:c r="N4" s="84" t="str">
        <x:v>审核状态</x:v>
      </x:c>
      <x:c r="O4" s="84" t="str">
        <x:v>备注</x:v>
      </x:c>
      <x:c r="P4" s="84" t="str">
        <x:v>标准依据</x:v>
      </x:c>
      <x:c r="Q4" s="84" t="str">
        <x:v>完整性检查</x:v>
      </x:c>
    </x:row>
    <x:row r="5" ht="48" customHeight="1">
      <x:c r="A5" s="85" t="n">
        <x:v>1</x:v>
      </x:c>
      <x:c r="B5" s="85" t="str">
        <x:v>项目、文件与数据治理</x:v>
      </x:c>
      <x:c r="C5" s="85" t="str">
        <x:v>governance.assessment_date</x:v>
      </x:c>
      <x:c r="D5" s="85" t="str">
        <x:v>评价基准日期</x:v>
      </x:c>
      <x:c r="E5" s="85" t="str">
        <x:v>assessment</x:v>
      </x:c>
      <x:c r="F5" s="85" t="str">
        <x:v>date</x:v>
      </x:c>
      <x:c r="G5" s="85" t="str">
        <x:v>—</x:v>
      </x:c>
      <x:c r="H5" s="85" t="str">
        <x:v>assessment.as_of</x:v>
      </x:c>
      <x:c r="I5" s="86"/>
      <x:c r="J5" s="86"/>
      <x:c r="K5" s="87"/>
      <x:c r="L5" s="86"/>
      <x:c r="M5" s="86"/>
      <x:c r="N5" s="86" t="str">
        <x:v>未审核</x:v>
      </x:c>
      <x:c r="O5" s="86"/>
      <x:c r="P5" s="85" t="str">
        <x:v>SY/T 6891.2-2020 表1 基础数据/管道风险/应急管理；GB/T 27921-2023 6.1-6.6</x:v>
      </x:c>
      <x:c r="Q5" s="85" t="str">
        <x:f>IF(I5="","缺少真实值",IF(L5="","缺少来源",IF(M5="","缺少填报人",IF(N5&lt;&gt;"已审核","待审核","完整"))))</x:f>
        <x:v>缺少真实值</x:v>
      </x:c>
    </x:row>
    <x:row r="6" ht="48" customHeight="1">
      <x:c r="A6" s="88" t="n">
        <x:v>2</x:v>
      </x:c>
      <x:c r="B6" s="88" t="str">
        <x:v>项目、文件与数据治理</x:v>
      </x:c>
      <x:c r="C6" s="88" t="str">
        <x:v>governance.design_report_ref</x:v>
      </x:c>
      <x:c r="D6" s="88" t="str">
        <x:v>初步设计报告引用</x:v>
      </x:c>
      <x:c r="E6" s="88" t="str">
        <x:v>assessment</x:v>
      </x:c>
      <x:c r="F6" s="88" t="str">
        <x:v>string</x:v>
      </x:c>
      <x:c r="G6" s="88" t="str">
        <x:v>—</x:v>
      </x:c>
      <x:c r="H6" s="88" t="str">
        <x:v>engineering_indicators显式观测</x:v>
      </x:c>
      <x:c r="I6" s="89"/>
      <x:c r="J6" s="89"/>
      <x:c r="K6" s="90"/>
      <x:c r="L6" s="89"/>
      <x:c r="M6" s="89"/>
      <x:c r="N6" s="89" t="str">
        <x:v>未审核</x:v>
      </x:c>
      <x:c r="O6" s="89"/>
      <x:c r="P6" s="88" t="str">
        <x:v>SY/T 6891.2-2020 表1 基础数据/管道风险/应急管理；GB/T 27921-2023 6.1-6.6</x:v>
      </x:c>
      <x:c r="Q6" s="88" t="str">
        <x:f>IF(I6="","缺少真实值",IF(L6="","缺少来源",IF(M6="","缺少填报人",IF(N6&lt;&gt;"已审核","待审核","完整"))))</x:f>
        <x:v>缺少真实值</x:v>
      </x:c>
    </x:row>
    <x:row r="7" ht="48" customHeight="1">
      <x:c r="A7" s="88" t="n">
        <x:v>3</x:v>
      </x:c>
      <x:c r="B7" s="88" t="str">
        <x:v>项目、文件与数据治理</x:v>
      </x:c>
      <x:c r="C7" s="88" t="str">
        <x:v>governance.as_built_drawing_ref</x:v>
      </x:c>
      <x:c r="D7" s="88" t="str">
        <x:v>竣工图引用</x:v>
      </x:c>
      <x:c r="E7" s="88" t="str">
        <x:v>assessment</x:v>
      </x:c>
      <x:c r="F7" s="88" t="str">
        <x:v>string</x:v>
      </x:c>
      <x:c r="G7" s="88" t="str">
        <x:v>—</x:v>
      </x:c>
      <x:c r="H7" s="88" t="str">
        <x:v>engineering_indicators显式观测</x:v>
      </x:c>
      <x:c r="I7" s="89"/>
      <x:c r="J7" s="89"/>
      <x:c r="K7" s="90"/>
      <x:c r="L7" s="89"/>
      <x:c r="M7" s="89"/>
      <x:c r="N7" s="89" t="str">
        <x:v>未审核</x:v>
      </x:c>
      <x:c r="O7" s="89"/>
      <x:c r="P7" s="88" t="str">
        <x:v>SY/T 6891.2-2020 表1 基础数据/管道风险/应急管理；GB/T 27921-2023 6.1-6.6</x:v>
      </x:c>
      <x:c r="Q7" s="88" t="str">
        <x:f>IF(I7="","缺少真实值",IF(L7="","缺少来源",IF(M7="","缺少填报人",IF(N7&lt;&gt;"已审核","待审核","完整"))))</x:f>
        <x:v>缺少真实值</x:v>
      </x:c>
    </x:row>
    <x:row r="8" ht="48" customHeight="1">
      <x:c r="A8" s="88" t="n">
        <x:v>4</x:v>
      </x:c>
      <x:c r="B8" s="88" t="str">
        <x:v>项目、文件与数据治理</x:v>
      </x:c>
      <x:c r="C8" s="88" t="str">
        <x:v>governance.construction_record_ref</x:v>
      </x:c>
      <x:c r="D8" s="88" t="str">
        <x:v>施工记录引用</x:v>
      </x:c>
      <x:c r="E8" s="88" t="str">
        <x:v>assessment</x:v>
      </x:c>
      <x:c r="F8" s="88" t="str">
        <x:v>string</x:v>
      </x:c>
      <x:c r="G8" s="88" t="str">
        <x:v>—</x:v>
      </x:c>
      <x:c r="H8" s="88" t="str">
        <x:v>engineering_indicators显式观测</x:v>
      </x:c>
      <x:c r="I8" s="89"/>
      <x:c r="J8" s="89"/>
      <x:c r="K8" s="90"/>
      <x:c r="L8" s="89"/>
      <x:c r="M8" s="89"/>
      <x:c r="N8" s="89" t="str">
        <x:v>未审核</x:v>
      </x:c>
      <x:c r="O8" s="89"/>
      <x:c r="P8" s="88" t="str">
        <x:v>SY/T 6891.2-2020 表1 基础数据/管道风险/应急管理；GB/T 27921-2023 6.1-6.6</x:v>
      </x:c>
      <x:c r="Q8" s="88" t="str">
        <x:f>IF(I8="","缺少真实值",IF(L8="","缺少来源",IF(M8="","缺少填报人",IF(N8&lt;&gt;"已审核","待审核","完整"))))</x:f>
        <x:v>缺少真实值</x:v>
      </x:c>
    </x:row>
    <x:row r="9" ht="48" customHeight="1">
      <x:c r="A9" s="88" t="n">
        <x:v>5</x:v>
      </x:c>
      <x:c r="B9" s="88" t="str">
        <x:v>项目、文件与数据治理</x:v>
      </x:c>
      <x:c r="C9" s="88" t="str">
        <x:v>governance.integrity_plan_ref</x:v>
      </x:c>
      <x:c r="D9" s="88" t="str">
        <x:v>完整性管理计划引用</x:v>
      </x:c>
      <x:c r="E9" s="88" t="str">
        <x:v>assessment</x:v>
      </x:c>
      <x:c r="F9" s="88" t="str">
        <x:v>string</x:v>
      </x:c>
      <x:c r="G9" s="88" t="str">
        <x:v>—</x:v>
      </x:c>
      <x:c r="H9" s="88" t="str">
        <x:v>engineering_indicators显式观测</x:v>
      </x:c>
      <x:c r="I9" s="89"/>
      <x:c r="J9" s="89"/>
      <x:c r="K9" s="90"/>
      <x:c r="L9" s="89"/>
      <x:c r="M9" s="89"/>
      <x:c r="N9" s="89" t="str">
        <x:v>未审核</x:v>
      </x:c>
      <x:c r="O9" s="89"/>
      <x:c r="P9" s="88" t="str">
        <x:v>SY/T 6891.2-2020 表1 基础数据/管道风险/应急管理；GB/T 27921-2023 6.1-6.6</x:v>
      </x:c>
      <x:c r="Q9" s="88" t="str">
        <x:f>IF(I9="","缺少真实值",IF(L9="","缺少来源",IF(M9="","缺少填报人",IF(N9&lt;&gt;"已审核","待审核","完整"))))</x:f>
        <x:v>缺少真实值</x:v>
      </x:c>
    </x:row>
    <x:row r="10" ht="48" customHeight="1">
      <x:c r="A10" s="88" t="n">
        <x:v>6</x:v>
      </x:c>
      <x:c r="B10" s="88" t="str">
        <x:v>项目、文件与数据治理</x:v>
      </x:c>
      <x:c r="C10" s="88" t="str">
        <x:v>governance.hca_report_ref</x:v>
      </x:c>
      <x:c r="D10" s="88" t="str">
        <x:v>高后果区识别报告引用</x:v>
      </x:c>
      <x:c r="E10" s="88" t="str">
        <x:v>assessment</x:v>
      </x:c>
      <x:c r="F10" s="88" t="str">
        <x:v>string</x:v>
      </x:c>
      <x:c r="G10" s="88" t="str">
        <x:v>—</x:v>
      </x:c>
      <x:c r="H10" s="88" t="str">
        <x:v>engineering_indicators显式观测</x:v>
      </x:c>
      <x:c r="I10" s="89"/>
      <x:c r="J10" s="89"/>
      <x:c r="K10" s="90"/>
      <x:c r="L10" s="89"/>
      <x:c r="M10" s="89"/>
      <x:c r="N10" s="89" t="str">
        <x:v>未审核</x:v>
      </x:c>
      <x:c r="O10" s="89"/>
      <x:c r="P10" s="88" t="str">
        <x:v>SY/T 6891.2-2020 表1 基础数据/管道风险/应急管理；GB/T 27921-2023 6.1-6.6</x:v>
      </x:c>
      <x:c r="Q10" s="88" t="str">
        <x:f>IF(I10="","缺少真实值",IF(L10="","缺少来源",IF(M10="","缺少填报人",IF(N10&lt;&gt;"已审核","待审核","完整"))))</x:f>
        <x:v>缺少真实值</x:v>
      </x:c>
    </x:row>
    <x:row r="11" ht="48" customHeight="1">
      <x:c r="A11" s="88" t="n">
        <x:v>7</x:v>
      </x:c>
      <x:c r="B11" s="88" t="str">
        <x:v>项目、文件与数据治理</x:v>
      </x:c>
      <x:c r="C11" s="88" t="str">
        <x:v>governance.emergency_plan_ref</x:v>
      </x:c>
      <x:c r="D11" s="88" t="str">
        <x:v>应急预案引用</x:v>
      </x:c>
      <x:c r="E11" s="88" t="str">
        <x:v>assessment</x:v>
      </x:c>
      <x:c r="F11" s="88" t="str">
        <x:v>string</x:v>
      </x:c>
      <x:c r="G11" s="88" t="str">
        <x:v>—</x:v>
      </x:c>
      <x:c r="H11" s="88" t="str">
        <x:v>engineering_indicators显式观测</x:v>
      </x:c>
      <x:c r="I11" s="89"/>
      <x:c r="J11" s="89"/>
      <x:c r="K11" s="90"/>
      <x:c r="L11" s="89"/>
      <x:c r="M11" s="89"/>
      <x:c r="N11" s="89" t="str">
        <x:v>未审核</x:v>
      </x:c>
      <x:c r="O11" s="89"/>
      <x:c r="P11" s="88" t="str">
        <x:v>SY/T 6891.2-2020 表1 基础数据/管道风险/应急管理；GB/T 27921-2023 6.1-6.6</x:v>
      </x:c>
      <x:c r="Q11" s="88" t="str">
        <x:f>IF(I11="","缺少真实值",IF(L11="","缺少来源",IF(M11="","缺少填报人",IF(N11&lt;&gt;"已审核","待审核","完整"))))</x:f>
        <x:v>缺少真实值</x:v>
      </x:c>
    </x:row>
    <x:row r="12" ht="48" customHeight="1">
      <x:c r="A12" s="88" t="n">
        <x:v>8</x:v>
      </x:c>
      <x:c r="B12" s="88" t="str">
        <x:v>项目、文件与数据治理</x:v>
      </x:c>
      <x:c r="C12" s="88" t="str">
        <x:v>governance.data_owner</x:v>
      </x:c>
      <x:c r="D12" s="88" t="str">
        <x:v>数据责任人</x:v>
      </x:c>
      <x:c r="E12" s="88" t="str">
        <x:v>assessment</x:v>
      </x:c>
      <x:c r="F12" s="88" t="str">
        <x:v>string</x:v>
      </x:c>
      <x:c r="G12" s="88" t="str">
        <x:v>—</x:v>
      </x:c>
      <x:c r="H12" s="88" t="str">
        <x:v>engineering_indicators显式观测</x:v>
      </x:c>
      <x:c r="I12" s="89"/>
      <x:c r="J12" s="89"/>
      <x:c r="K12" s="90"/>
      <x:c r="L12" s="89"/>
      <x:c r="M12" s="89"/>
      <x:c r="N12" s="89" t="str">
        <x:v>未审核</x:v>
      </x:c>
      <x:c r="O12" s="89"/>
      <x:c r="P12" s="88" t="str">
        <x:v>SY/T 6891.2-2020 表1 基础数据/管道风险/应急管理；GB/T 27921-2023 6.1-6.6</x:v>
      </x:c>
      <x:c r="Q12" s="88" t="str">
        <x:f>IF(I12="","缺少真实值",IF(L12="","缺少来源",IF(M12="","缺少填报人",IF(N12&lt;&gt;"已审核","待审核","完整"))))</x:f>
        <x:v>缺少真实值</x:v>
      </x:c>
    </x:row>
    <x:row r="13" ht="48" customHeight="1">
      <x:c r="A13" s="88" t="n">
        <x:v>9</x:v>
      </x:c>
      <x:c r="B13" s="88" t="str">
        <x:v>项目、文件与数据治理</x:v>
      </x:c>
      <x:c r="C13" s="88" t="str">
        <x:v>governance.approval_ref</x:v>
      </x:c>
      <x:c r="D13" s="88" t="str">
        <x:v>模型与参数批准文件引用</x:v>
      </x:c>
      <x:c r="E13" s="88" t="str">
        <x:v>assessment</x:v>
      </x:c>
      <x:c r="F13" s="88" t="str">
        <x:v>string</x:v>
      </x:c>
      <x:c r="G13" s="88" t="str">
        <x:v>—</x:v>
      </x:c>
      <x:c r="H13" s="88" t="str">
        <x:v>engineering_indicators显式观测</x:v>
      </x:c>
      <x:c r="I13" s="89"/>
      <x:c r="J13" s="89"/>
      <x:c r="K13" s="90"/>
      <x:c r="L13" s="89"/>
      <x:c r="M13" s="89"/>
      <x:c r="N13" s="89" t="str">
        <x:v>未审核</x:v>
      </x:c>
      <x:c r="O13" s="89"/>
      <x:c r="P13" s="88" t="str">
        <x:v>SY/T 6891.2-2020 表1 基础数据/管道风险/应急管理；GB/T 27921-2023 6.1-6.6</x:v>
      </x:c>
      <x:c r="Q13" s="88" t="str">
        <x:f>IF(I13="","缺少真实值",IF(L13="","缺少来源",IF(M13="","缺少填报人",IF(N13&lt;&gt;"已审核","待审核","完整"))))</x:f>
        <x:v>缺少真实值</x:v>
      </x:c>
    </x:row>
    <x:row r="14" ht="48" customHeight="1">
      <x:c r="A14" s="88" t="n">
        <x:v>10</x:v>
      </x:c>
      <x:c r="B14" s="88" t="str">
        <x:v>管道几何、材料与设计</x:v>
      </x:c>
      <x:c r="C14" s="88" t="str">
        <x:v>geometry_material.start_chainage_km</x:v>
      </x:c>
      <x:c r="D14" s="88" t="str">
        <x:v>起点里程</x:v>
      </x:c>
      <x:c r="E14" s="88" t="str">
        <x:v>segment</x:v>
      </x:c>
      <x:c r="F14" s="88" t="str">
        <x:v>number</x:v>
      </x:c>
      <x:c r="G14" s="88" t="str">
        <x:v>km</x:v>
      </x:c>
      <x:c r="H14" s="88" t="str">
        <x:v>segments.*.start_km</x:v>
      </x:c>
      <x:c r="I14" s="89"/>
      <x:c r="J14" s="89"/>
      <x:c r="K14" s="90"/>
      <x:c r="L14" s="89"/>
      <x:c r="M14" s="89"/>
      <x:c r="N14" s="89" t="str">
        <x:v>未审核</x:v>
      </x:c>
      <x:c r="O14" s="89"/>
      <x:c r="P14" s="88" t="str">
        <x:v>SY/T 6891.2-2020 表1 基础数据、7、附录B；AQ/T 3046-2013 8-9</x:v>
      </x:c>
      <x:c r="Q14" s="88" t="str">
        <x:f>IF(I14="","缺少真实值",IF(L14="","缺少来源",IF(M14="","缺少填报人",IF(N14&lt;&gt;"已审核","待审核","完整"))))</x:f>
        <x:v>缺少真实值</x:v>
      </x:c>
    </x:row>
    <x:row r="15" ht="48" customHeight="1">
      <x:c r="A15" s="88" t="n">
        <x:v>11</x:v>
      </x:c>
      <x:c r="B15" s="88" t="str">
        <x:v>管道几何、材料与设计</x:v>
      </x:c>
      <x:c r="C15" s="88" t="str">
        <x:v>geometry_material.end_chainage_km</x:v>
      </x:c>
      <x:c r="D15" s="88" t="str">
        <x:v>终点里程</x:v>
      </x:c>
      <x:c r="E15" s="88" t="str">
        <x:v>segment</x:v>
      </x:c>
      <x:c r="F15" s="88" t="str">
        <x:v>number</x:v>
      </x:c>
      <x:c r="G15" s="88" t="str">
        <x:v>km</x:v>
      </x:c>
      <x:c r="H15" s="88" t="str">
        <x:v>segments.*.end_km</x:v>
      </x:c>
      <x:c r="I15" s="89"/>
      <x:c r="J15" s="89"/>
      <x:c r="K15" s="90"/>
      <x:c r="L15" s="89"/>
      <x:c r="M15" s="89"/>
      <x:c r="N15" s="89" t="str">
        <x:v>未审核</x:v>
      </x:c>
      <x:c r="O15" s="89"/>
      <x:c r="P15" s="88" t="str">
        <x:v>SY/T 6891.2-2020 表1 基础数据、7、附录B；AQ/T 3046-2013 8-9</x:v>
      </x:c>
      <x:c r="Q15" s="88" t="str">
        <x:f>IF(I15="","缺少真实值",IF(L15="","缺少来源",IF(M15="","缺少填报人",IF(N15&lt;&gt;"已审核","待审核","完整"))))</x:f>
        <x:v>缺少真实值</x:v>
      </x:c>
    </x:row>
    <x:row r="16" ht="48" customHeight="1">
      <x:c r="A16" s="88" t="n">
        <x:v>12</x:v>
      </x:c>
      <x:c r="B16" s="88" t="str">
        <x:v>管道几何、材料与设计</x:v>
      </x:c>
      <x:c r="C16" s="88" t="str">
        <x:v>geometry_material.length_km</x:v>
      </x:c>
      <x:c r="D16" s="88" t="str">
        <x:v>管段长度</x:v>
      </x:c>
      <x:c r="E16" s="88" t="str">
        <x:v>segment</x:v>
      </x:c>
      <x:c r="F16" s="88" t="str">
        <x:v>number</x:v>
      </x:c>
      <x:c r="G16" s="88" t="str">
        <x:v>km</x:v>
      </x:c>
      <x:c r="H16" s="88" t="str">
        <x:v>segments.*.length_km</x:v>
      </x:c>
      <x:c r="I16" s="89"/>
      <x:c r="J16" s="89"/>
      <x:c r="K16" s="90"/>
      <x:c r="L16" s="89"/>
      <x:c r="M16" s="89"/>
      <x:c r="N16" s="89" t="str">
        <x:v>未审核</x:v>
      </x:c>
      <x:c r="O16" s="89"/>
      <x:c r="P16" s="88" t="str">
        <x:v>SY/T 6891.2-2020 表1 基础数据、7、附录B；AQ/T 3046-2013 8-9</x:v>
      </x:c>
      <x:c r="Q16" s="88" t="str">
        <x:f>IF(I16="","缺少真实值",IF(L16="","缺少来源",IF(M16="","缺少填报人",IF(N16&lt;&gt;"已审核","待审核","完整"))))</x:f>
        <x:v>缺少真实值</x:v>
      </x:c>
    </x:row>
    <x:row r="17" ht="48" customHeight="1">
      <x:c r="A17" s="88" t="n">
        <x:v>13</x:v>
      </x:c>
      <x:c r="B17" s="88" t="str">
        <x:v>管道几何、材料与设计</x:v>
      </x:c>
      <x:c r="C17" s="88" t="str">
        <x:v>geometry_material.centreline_xy</x:v>
      </x:c>
      <x:c r="D17" s="88" t="str">
        <x:v>中心线平面坐标</x:v>
      </x:c>
      <x:c r="E17" s="88" t="str">
        <x:v>segment</x:v>
      </x:c>
      <x:c r="F17" s="88" t="str">
        <x:v>array</x:v>
      </x:c>
      <x:c r="G17" s="88" t="str">
        <x:v>m</x:v>
      </x:c>
      <x:c r="H17" s="88" t="str">
        <x:v>segments.*.start_xy_m</x:v>
      </x:c>
      <x:c r="I17" s="89"/>
      <x:c r="J17" s="89"/>
      <x:c r="K17" s="90"/>
      <x:c r="L17" s="89"/>
      <x:c r="M17" s="89"/>
      <x:c r="N17" s="89" t="str">
        <x:v>未审核</x:v>
      </x:c>
      <x:c r="O17" s="89"/>
      <x:c r="P17" s="88" t="str">
        <x:v>SY/T 6891.2-2020 表1 基础数据、7、附录B；AQ/T 3046-2013 8-9</x:v>
      </x:c>
      <x:c r="Q17" s="88" t="str">
        <x:f>IF(I17="","缺少真实值",IF(L17="","缺少来源",IF(M17="","缺少填报人",IF(N17&lt;&gt;"已审核","待审核","完整"))))</x:f>
        <x:v>缺少真实值</x:v>
      </x:c>
    </x:row>
    <x:row r="18" ht="48" customHeight="1">
      <x:c r="A18" s="88" t="n">
        <x:v>14</x:v>
      </x:c>
      <x:c r="B18" s="88" t="str">
        <x:v>管道几何、材料与设计</x:v>
      </x:c>
      <x:c r="C18" s="88" t="str">
        <x:v>geometry_material.outside_diameter_mm</x:v>
      </x:c>
      <x:c r="D18" s="88" t="str">
        <x:v>外径</x:v>
      </x:c>
      <x:c r="E18" s="88" t="str">
        <x:v>segment</x:v>
      </x:c>
      <x:c r="F18" s="88" t="str">
        <x:v>number</x:v>
      </x:c>
      <x:c r="G18" s="88" t="str">
        <x:v>mm</x:v>
      </x:c>
      <x:c r="H18" s="88" t="str">
        <x:v>segments.*.outside_diameter_mm</x:v>
      </x:c>
      <x:c r="I18" s="89"/>
      <x:c r="J18" s="89"/>
      <x:c r="K18" s="90"/>
      <x:c r="L18" s="89"/>
      <x:c r="M18" s="89"/>
      <x:c r="N18" s="89" t="str">
        <x:v>未审核</x:v>
      </x:c>
      <x:c r="O18" s="89"/>
      <x:c r="P18" s="88" t="str">
        <x:v>SY/T 6891.2-2020 表1 基础数据、7、附录B；AQ/T 3046-2013 8-9</x:v>
      </x:c>
      <x:c r="Q18" s="88" t="str">
        <x:f>IF(I18="","缺少真实值",IF(L18="","缺少来源",IF(M18="","缺少填报人",IF(N18&lt;&gt;"已审核","待审核","完整"))))</x:f>
        <x:v>缺少真实值</x:v>
      </x:c>
    </x:row>
    <x:row r="19" ht="48" customHeight="1">
      <x:c r="A19" s="88" t="n">
        <x:v>15</x:v>
      </x:c>
      <x:c r="B19" s="88" t="str">
        <x:v>管道几何、材料与设计</x:v>
      </x:c>
      <x:c r="C19" s="88" t="str">
        <x:v>geometry_material.wall_thickness_mm</x:v>
      </x:c>
      <x:c r="D19" s="88" t="str">
        <x:v>名义壁厚</x:v>
      </x:c>
      <x:c r="E19" s="88" t="str">
        <x:v>segment</x:v>
      </x:c>
      <x:c r="F19" s="88" t="str">
        <x:v>number</x:v>
      </x:c>
      <x:c r="G19" s="88" t="str">
        <x:v>mm</x:v>
      </x:c>
      <x:c r="H19" s="88" t="str">
        <x:v>segments.*.wall_thickness_mm</x:v>
      </x:c>
      <x:c r="I19" s="89"/>
      <x:c r="J19" s="89"/>
      <x:c r="K19" s="90"/>
      <x:c r="L19" s="89"/>
      <x:c r="M19" s="89"/>
      <x:c r="N19" s="89" t="str">
        <x:v>未审核</x:v>
      </x:c>
      <x:c r="O19" s="89"/>
      <x:c r="P19" s="88" t="str">
        <x:v>SY/T 6891.2-2020 表1 基础数据、7、附录B；AQ/T 3046-2013 8-9</x:v>
      </x:c>
      <x:c r="Q19" s="88" t="str">
        <x:f>IF(I19="","缺少真实值",IF(L19="","缺少来源",IF(M19="","缺少填报人",IF(N19&lt;&gt;"已审核","待审核","完整"))))</x:f>
        <x:v>缺少真实值</x:v>
      </x:c>
    </x:row>
    <x:row r="20" ht="48" customHeight="1">
      <x:c r="A20" s="88" t="n">
        <x:v>16</x:v>
      </x:c>
      <x:c r="B20" s="88" t="str">
        <x:v>管道几何、材料与设计</x:v>
      </x:c>
      <x:c r="C20" s="88" t="str">
        <x:v>geometry_material.steel_grade</x:v>
      </x:c>
      <x:c r="D20" s="88" t="str">
        <x:v>钢级</x:v>
      </x:c>
      <x:c r="E20" s="88" t="str">
        <x:v>segment</x:v>
      </x:c>
      <x:c r="F20" s="88" t="str">
        <x:v>string</x:v>
      </x:c>
      <x:c r="G20" s="88" t="str">
        <x:v>—</x:v>
      </x:c>
      <x:c r="H20" s="88" t="str">
        <x:v>segments.*.steel_grade</x:v>
      </x:c>
      <x:c r="I20" s="89"/>
      <x:c r="J20" s="89"/>
      <x:c r="K20" s="90"/>
      <x:c r="L20" s="89"/>
      <x:c r="M20" s="89"/>
      <x:c r="N20" s="89" t="str">
        <x:v>未审核</x:v>
      </x:c>
      <x:c r="O20" s="89"/>
      <x:c r="P20" s="88" t="str">
        <x:v>SY/T 6891.2-2020 表1 基础数据、7、附录B；AQ/T 3046-2013 8-9</x:v>
      </x:c>
      <x:c r="Q20" s="88" t="str">
        <x:f>IF(I20="","缺少真实值",IF(L20="","缺少来源",IF(M20="","缺少填报人",IF(N20&lt;&gt;"已审核","待审核","完整"))))</x:f>
        <x:v>缺少真实值</x:v>
      </x:c>
    </x:row>
    <x:row r="21" ht="48" customHeight="1">
      <x:c r="A21" s="88" t="n">
        <x:v>17</x:v>
      </x:c>
      <x:c r="B21" s="88" t="str">
        <x:v>管道几何、材料与设计</x:v>
      </x:c>
      <x:c r="C21" s="88" t="str">
        <x:v>geometry_material.seam_type</x:v>
      </x:c>
      <x:c r="D21" s="88" t="str">
        <x:v>制管焊缝类型</x:v>
      </x:c>
      <x:c r="E21" s="88" t="str">
        <x:v>segment</x:v>
      </x:c>
      <x:c r="F21" s="88" t="str">
        <x:v>string</x:v>
      </x:c>
      <x:c r="G21" s="88" t="str">
        <x:v>—</x:v>
      </x:c>
      <x:c r="H21" s="88" t="str">
        <x:v>engineering_indicators显式观测</x:v>
      </x:c>
      <x:c r="I21" s="89"/>
      <x:c r="J21" s="89"/>
      <x:c r="K21" s="90"/>
      <x:c r="L21" s="89"/>
      <x:c r="M21" s="89"/>
      <x:c r="N21" s="89" t="str">
        <x:v>未审核</x:v>
      </x:c>
      <x:c r="O21" s="89"/>
      <x:c r="P21" s="88" t="str">
        <x:v>SY/T 6891.2-2020 表1 基础数据、7、附录B；AQ/T 3046-2013 8-9</x:v>
      </x:c>
      <x:c r="Q21" s="88" t="str">
        <x:f>IF(I21="","缺少真实值",IF(L21="","缺少来源",IF(M21="","缺少填报人",IF(N21&lt;&gt;"已审核","待审核","完整"))))</x:f>
        <x:v>缺少真实值</x:v>
      </x:c>
    </x:row>
    <x:row r="22" ht="48" customHeight="1">
      <x:c r="A22" s="88" t="n">
        <x:v>18</x:v>
      </x:c>
      <x:c r="B22" s="88" t="str">
        <x:v>管道几何、材料与设计</x:v>
      </x:c>
      <x:c r="C22" s="88" t="str">
        <x:v>geometry_material.design_pressure_mpa</x:v>
      </x:c>
      <x:c r="D22" s="88" t="str">
        <x:v>设计压力</x:v>
      </x:c>
      <x:c r="E22" s="88" t="str">
        <x:v>segment</x:v>
      </x:c>
      <x:c r="F22" s="88" t="str">
        <x:v>number</x:v>
      </x:c>
      <x:c r="G22" s="88" t="str">
        <x:v>MPa</x:v>
      </x:c>
      <x:c r="H22" s="88" t="str">
        <x:v>pipeline.design_pressure_mpa</x:v>
      </x:c>
      <x:c r="I22" s="89"/>
      <x:c r="J22" s="89"/>
      <x:c r="K22" s="90"/>
      <x:c r="L22" s="89"/>
      <x:c r="M22" s="89"/>
      <x:c r="N22" s="89" t="str">
        <x:v>未审核</x:v>
      </x:c>
      <x:c r="O22" s="89"/>
      <x:c r="P22" s="88" t="str">
        <x:v>SY/T 6891.2-2020 表1 基础数据、7、附录B；AQ/T 3046-2013 8-9</x:v>
      </x:c>
      <x:c r="Q22" s="88" t="str">
        <x:f>IF(I22="","缺少真实值",IF(L22="","缺少来源",IF(M22="","缺少填报人",IF(N22&lt;&gt;"已审核","待审核","完整"))))</x:f>
        <x:v>缺少真实值</x:v>
      </x:c>
    </x:row>
    <x:row r="23" ht="48" customHeight="1">
      <x:c r="A23" s="88" t="n">
        <x:v>19</x:v>
      </x:c>
      <x:c r="B23" s="88" t="str">
        <x:v>管道几何、材料与设计</x:v>
      </x:c>
      <x:c r="C23" s="88" t="str">
        <x:v>geometry_material.commissioning_year</x:v>
      </x:c>
      <x:c r="D23" s="88" t="str">
        <x:v>投产年份</x:v>
      </x:c>
      <x:c r="E23" s="88" t="str">
        <x:v>segment</x:v>
      </x:c>
      <x:c r="F23" s="88" t="str">
        <x:v>integer</x:v>
      </x:c>
      <x:c r="G23" s="88" t="str">
        <x:v>year</x:v>
      </x:c>
      <x:c r="H23" s="88" t="str">
        <x:v>segments.*.commissioning_year</x:v>
      </x:c>
      <x:c r="I23" s="89"/>
      <x:c r="J23" s="89"/>
      <x:c r="K23" s="90"/>
      <x:c r="L23" s="89"/>
      <x:c r="M23" s="89"/>
      <x:c r="N23" s="89" t="str">
        <x:v>未审核</x:v>
      </x:c>
      <x:c r="O23" s="89"/>
      <x:c r="P23" s="88" t="str">
        <x:v>SY/T 6891.2-2020 表1 基础数据、7、附录B；AQ/T 3046-2013 8-9</x:v>
      </x:c>
      <x:c r="Q23" s="88" t="str">
        <x:f>IF(I23="","缺少真实值",IF(L23="","缺少来源",IF(M23="","缺少填报人",IF(N23&lt;&gt;"已审核","待审核","完整"))))</x:f>
        <x:v>缺少真实值</x:v>
      </x:c>
    </x:row>
    <x:row r="24" ht="48" customHeight="1">
      <x:c r="A24" s="88" t="n">
        <x:v>20</x:v>
      </x:c>
      <x:c r="B24" s="88" t="str">
        <x:v>运行工况与输送介质</x:v>
      </x:c>
      <x:c r="C24" s="88" t="str">
        <x:v>operation_medium.service</x:v>
      </x:c>
      <x:c r="D24" s="88" t="str">
        <x:v>输送介质类型</x:v>
      </x:c>
      <x:c r="E24" s="88" t="str">
        <x:v>pipeline_or_segment</x:v>
      </x:c>
      <x:c r="F24" s="88" t="str">
        <x:v>string</x:v>
      </x:c>
      <x:c r="G24" s="88" t="str">
        <x:v>—</x:v>
      </x:c>
      <x:c r="H24" s="88" t="str">
        <x:v>pipeline.service</x:v>
      </x:c>
      <x:c r="I24" s="89"/>
      <x:c r="J24" s="89"/>
      <x:c r="K24" s="90"/>
      <x:c r="L24" s="89"/>
      <x:c r="M24" s="89"/>
      <x:c r="N24" s="89" t="str">
        <x:v>未审核</x:v>
      </x:c>
      <x:c r="O24" s="89"/>
      <x:c r="P24" s="88" t="str">
        <x:v>SY/T 6891.2-2020 表1 基础数据/运行维护、附录B；AQ/T 3046-2013 8-10</x:v>
      </x:c>
      <x:c r="Q24" s="88" t="str">
        <x:f>IF(I24="","缺少真实值",IF(L24="","缺少来源",IF(M24="","缺少填报人",IF(N24&lt;&gt;"已审核","待审核","完整"))))</x:f>
        <x:v>缺少真实值</x:v>
      </x:c>
    </x:row>
    <x:row r="25" ht="48" customHeight="1">
      <x:c r="A25" s="88" t="n">
        <x:v>21</x:v>
      </x:c>
      <x:c r="B25" s="88" t="str">
        <x:v>运行工况与输送介质</x:v>
      </x:c>
      <x:c r="C25" s="88" t="str">
        <x:v>operation_medium.operating_pressure_mpa</x:v>
      </x:c>
      <x:c r="D25" s="88" t="str">
        <x:v>运行压力</x:v>
      </x:c>
      <x:c r="E25" s="88" t="str">
        <x:v>pipeline_or_segment</x:v>
      </x:c>
      <x:c r="F25" s="88" t="str">
        <x:v>number</x:v>
      </x:c>
      <x:c r="G25" s="88" t="str">
        <x:v>MPa</x:v>
      </x:c>
      <x:c r="H25" s="88" t="str">
        <x:v>pipeline.operating_pressure_mpa</x:v>
      </x:c>
      <x:c r="I25" s="89"/>
      <x:c r="J25" s="89"/>
      <x:c r="K25" s="90"/>
      <x:c r="L25" s="89"/>
      <x:c r="M25" s="89"/>
      <x:c r="N25" s="89" t="str">
        <x:v>未审核</x:v>
      </x:c>
      <x:c r="O25" s="89"/>
      <x:c r="P25" s="88" t="str">
        <x:v>SY/T 6891.2-2020 表1 基础数据/运行维护、附录B；AQ/T 3046-2013 8-10</x:v>
      </x:c>
      <x:c r="Q25" s="88" t="str">
        <x:f>IF(I25="","缺少真实值",IF(L25="","缺少来源",IF(M25="","缺少填报人",IF(N25&lt;&gt;"已审核","待审核","完整"))))</x:f>
        <x:v>缺少真实值</x:v>
      </x:c>
    </x:row>
    <x:row r="26" ht="48" customHeight="1">
      <x:c r="A26" s="88" t="n">
        <x:v>22</x:v>
      </x:c>
      <x:c r="B26" s="88" t="str">
        <x:v>运行工况与输送介质</x:v>
      </x:c>
      <x:c r="C26" s="88" t="str">
        <x:v>operation_medium.operating_temperature_k</x:v>
      </x:c>
      <x:c r="D26" s="88" t="str">
        <x:v>运行温度</x:v>
      </x:c>
      <x:c r="E26" s="88" t="str">
        <x:v>pipeline_or_segment</x:v>
      </x:c>
      <x:c r="F26" s="88" t="str">
        <x:v>number</x:v>
      </x:c>
      <x:c r="G26" s="88" t="str">
        <x:v>K</x:v>
      </x:c>
      <x:c r="H26" s="88" t="str">
        <x:v>pipeline.operating_temperature_k</x:v>
      </x:c>
      <x:c r="I26" s="89"/>
      <x:c r="J26" s="89"/>
      <x:c r="K26" s="90"/>
      <x:c r="L26" s="89"/>
      <x:c r="M26" s="89"/>
      <x:c r="N26" s="89" t="str">
        <x:v>未审核</x:v>
      </x:c>
      <x:c r="O26" s="89"/>
      <x:c r="P26" s="88" t="str">
        <x:v>SY/T 6891.2-2020 表1 基础数据/运行维护、附录B；AQ/T 3046-2013 8-10</x:v>
      </x:c>
      <x:c r="Q26" s="88" t="str">
        <x:f>IF(I26="","缺少真实值",IF(L26="","缺少来源",IF(M26="","缺少填报人",IF(N26&lt;&gt;"已审核","待审核","完整"))))</x:f>
        <x:v>缺少真实值</x:v>
      </x:c>
    </x:row>
    <x:row r="27" ht="48" customHeight="1">
      <x:c r="A27" s="88" t="n">
        <x:v>23</x:v>
      </x:c>
      <x:c r="B27" s="88" t="str">
        <x:v>运行工况与输送介质</x:v>
      </x:c>
      <x:c r="C27" s="88" t="str">
        <x:v>operation_medium.gas_methane_fraction</x:v>
      </x:c>
      <x:c r="D27" s="88" t="str">
        <x:v>甲烷摩尔分数</x:v>
      </x:c>
      <x:c r="E27" s="88" t="str">
        <x:v>pipeline_or_segment</x:v>
      </x:c>
      <x:c r="F27" s="88" t="str">
        <x:v>number</x:v>
      </x:c>
      <x:c r="G27" s="88" t="str">
        <x:v>—</x:v>
      </x:c>
      <x:c r="H27" s="88" t="str">
        <x:v>pipeline.gas_composition_mole_fraction.methane</x:v>
      </x:c>
      <x:c r="I27" s="89"/>
      <x:c r="J27" s="89"/>
      <x:c r="K27" s="90"/>
      <x:c r="L27" s="89"/>
      <x:c r="M27" s="89"/>
      <x:c r="N27" s="89" t="str">
        <x:v>未审核</x:v>
      </x:c>
      <x:c r="O27" s="89"/>
      <x:c r="P27" s="88" t="str">
        <x:v>SY/T 6891.2-2020 表1 基础数据/运行维护、附录B；AQ/T 3046-2013 8-10</x:v>
      </x:c>
      <x:c r="Q27" s="88" t="str">
        <x:f>IF(I27="","缺少真实值",IF(L27="","缺少来源",IF(M27="","缺少填报人",IF(N27&lt;&gt;"已审核","待审核","完整"))))</x:f>
        <x:v>缺少真实值</x:v>
      </x:c>
    </x:row>
    <x:row r="28" ht="48" customHeight="1">
      <x:c r="A28" s="88" t="n">
        <x:v>24</x:v>
      </x:c>
      <x:c r="B28" s="88" t="str">
        <x:v>阀室、隔离、监控与泄漏检测</x:v>
      </x:c>
      <x:c r="C28" s="88" t="str">
        <x:v>valve_control.upstream_valve_chainage_km</x:v>
      </x:c>
      <x:c r="D28" s="88" t="str">
        <x:v>上游隔离阀里程</x:v>
      </x:c>
      <x:c r="E28" s="88" t="str">
        <x:v>segment</x:v>
      </x:c>
      <x:c r="F28" s="88" t="str">
        <x:v>number</x:v>
      </x:c>
      <x:c r="G28" s="88" t="str">
        <x:v>km</x:v>
      </x:c>
      <x:c r="H28" s="88" t="str">
        <x:v>segments.*.upstream_valve_km</x:v>
      </x:c>
      <x:c r="I28" s="89"/>
      <x:c r="J28" s="89"/>
      <x:c r="K28" s="90"/>
      <x:c r="L28" s="89"/>
      <x:c r="M28" s="89"/>
      <x:c r="N28" s="89" t="str">
        <x:v>未审核</x:v>
      </x:c>
      <x:c r="O28" s="89"/>
      <x:c r="P28" s="88" t="str">
        <x:v>SY/T 6891.2-2020 表1 基础数据/运行维护、9.2、表4；AQ/T 3046-2013 9.1</x:v>
      </x:c>
      <x:c r="Q28" s="88" t="str">
        <x:f>IF(I28="","缺少真实值",IF(L28="","缺少来源",IF(M28="","缺少填报人",IF(N28&lt;&gt;"已审核","待审核","完整"))))</x:f>
        <x:v>缺少真实值</x:v>
      </x:c>
    </x:row>
    <x:row r="29" ht="48" customHeight="1">
      <x:c r="A29" s="88" t="n">
        <x:v>25</x:v>
      </x:c>
      <x:c r="B29" s="88" t="str">
        <x:v>阀室、隔离、监控与泄漏检测</x:v>
      </x:c>
      <x:c r="C29" s="88" t="str">
        <x:v>valve_control.downstream_valve_chainage_km</x:v>
      </x:c>
      <x:c r="D29" s="88" t="str">
        <x:v>下游隔离阀里程</x:v>
      </x:c>
      <x:c r="E29" s="88" t="str">
        <x:v>segment</x:v>
      </x:c>
      <x:c r="F29" s="88" t="str">
        <x:v>number</x:v>
      </x:c>
      <x:c r="G29" s="88" t="str">
        <x:v>km</x:v>
      </x:c>
      <x:c r="H29" s="88" t="str">
        <x:v>segments.*.downstream_valve_km</x:v>
      </x:c>
      <x:c r="I29" s="89"/>
      <x:c r="J29" s="89"/>
      <x:c r="K29" s="90"/>
      <x:c r="L29" s="89"/>
      <x:c r="M29" s="89"/>
      <x:c r="N29" s="89" t="str">
        <x:v>未审核</x:v>
      </x:c>
      <x:c r="O29" s="89"/>
      <x:c r="P29" s="88" t="str">
        <x:v>SY/T 6891.2-2020 表1 基础数据/运行维护、9.2、表4；AQ/T 3046-2013 9.1</x:v>
      </x:c>
      <x:c r="Q29" s="88" t="str">
        <x:f>IF(I29="","缺少真实值",IF(L29="","缺少来源",IF(M29="","缺少填报人",IF(N29&lt;&gt;"已审核","待审核","完整"))))</x:f>
        <x:v>缺少真实值</x:v>
      </x:c>
    </x:row>
    <x:row r="30" ht="48" customHeight="1">
      <x:c r="A30" s="88" t="n">
        <x:v>26</x:v>
      </x:c>
      <x:c r="B30" s="88" t="str">
        <x:v>阀室、隔离、监控与泄漏检测</x:v>
      </x:c>
      <x:c r="C30" s="88" t="str">
        <x:v>valve_control.leak_detection_time_s</x:v>
      </x:c>
      <x:c r="D30" s="88" t="str">
        <x:v>泄漏检测时间</x:v>
      </x:c>
      <x:c r="E30" s="88" t="str">
        <x:v>segment</x:v>
      </x:c>
      <x:c r="F30" s="88" t="str">
        <x:v>number</x:v>
      </x:c>
      <x:c r="G30" s="88" t="str">
        <x:v>s</x:v>
      </x:c>
      <x:c r="H30" s="88" t="str">
        <x:v>segments.*.leak_detection_time_s</x:v>
      </x:c>
      <x:c r="I30" s="89"/>
      <x:c r="J30" s="89"/>
      <x:c r="K30" s="90"/>
      <x:c r="L30" s="89"/>
      <x:c r="M30" s="89"/>
      <x:c r="N30" s="89" t="str">
        <x:v>未审核</x:v>
      </x:c>
      <x:c r="O30" s="89"/>
      <x:c r="P30" s="88" t="str">
        <x:v>SY/T 6891.2-2020 表1 基础数据/运行维护、9.2、表4；AQ/T 3046-2013 9.1</x:v>
      </x:c>
      <x:c r="Q30" s="88" t="str">
        <x:f>IF(I30="","缺少真实值",IF(L30="","缺少来源",IF(M30="","缺少填报人",IF(N30&lt;&gt;"已审核","待审核","完整"))))</x:f>
        <x:v>缺少真实值</x:v>
      </x:c>
    </x:row>
    <x:row r="31" ht="48" customHeight="1">
      <x:c r="A31" s="88" t="n">
        <x:v>27</x:v>
      </x:c>
      <x:c r="B31" s="88" t="str">
        <x:v>阀室、隔离、监控与泄漏检测</x:v>
      </x:c>
      <x:c r="C31" s="88" t="str">
        <x:v>valve_control.valve_closure_time_s</x:v>
      </x:c>
      <x:c r="D31" s="88" t="str">
        <x:v>关阀时间</x:v>
      </x:c>
      <x:c r="E31" s="88" t="str">
        <x:v>segment</x:v>
      </x:c>
      <x:c r="F31" s="88" t="str">
        <x:v>number</x:v>
      </x:c>
      <x:c r="G31" s="88" t="str">
        <x:v>s</x:v>
      </x:c>
      <x:c r="H31" s="88" t="str">
        <x:v>segments.*.valve_closure_time_s</x:v>
      </x:c>
      <x:c r="I31" s="89"/>
      <x:c r="J31" s="89"/>
      <x:c r="K31" s="90"/>
      <x:c r="L31" s="89"/>
      <x:c r="M31" s="89"/>
      <x:c r="N31" s="89" t="str">
        <x:v>未审核</x:v>
      </x:c>
      <x:c r="O31" s="89"/>
      <x:c r="P31" s="88" t="str">
        <x:v>SY/T 6891.2-2020 表1 基础数据/运行维护、9.2、表4；AQ/T 3046-2013 9.1</x:v>
      </x:c>
      <x:c r="Q31" s="88" t="str">
        <x:f>IF(I31="","缺少真实值",IF(L31="","缺少来源",IF(M31="","缺少填报人",IF(N31&lt;&gt;"已审核","待审核","完整"))))</x:f>
        <x:v>缺少真实值</x:v>
      </x:c>
    </x:row>
    <x:row r="32" ht="48" customHeight="1">
      <x:c r="A32" s="88" t="n">
        <x:v>28</x:v>
      </x:c>
      <x:c r="B32" s="88" t="str">
        <x:v>外腐蚀与阴极保护</x:v>
      </x:c>
      <x:c r="C32" s="88" t="str">
        <x:v>external_corrosion.coating_type</x:v>
      </x:c>
      <x:c r="D32" s="88" t="str">
        <x:v>外防腐层类型</x:v>
      </x:c>
      <x:c r="E32" s="88" t="str">
        <x:v>segment</x:v>
      </x:c>
      <x:c r="F32" s="88" t="str">
        <x:v>string</x:v>
      </x:c>
      <x:c r="G32" s="88" t="str">
        <x:v>—</x:v>
      </x:c>
      <x:c r="H32" s="88" t="str">
        <x:v>engineering_indicators显式观测</x:v>
      </x:c>
      <x:c r="I32" s="89"/>
      <x:c r="J32" s="89"/>
      <x:c r="K32" s="90"/>
      <x:c r="L32" s="89"/>
      <x:c r="M32" s="89"/>
      <x:c r="N32" s="89" t="str">
        <x:v>未审核</x:v>
      </x:c>
      <x:c r="O32" s="89"/>
      <x:c r="P32" s="88" t="str">
        <x:v>SY/T 6891.2-2020 表1 运行维护/检测评价、7、附录A-B；SY/T 6891.2-2020 表4 腐蚀</x:v>
      </x:c>
      <x:c r="Q32" s="88" t="str">
        <x:f>IF(I32="","缺少真实值",IF(L32="","缺少来源",IF(M32="","缺少填报人",IF(N32&lt;&gt;"已审核","待审核","完整"))))</x:f>
        <x:v>缺少真实值</x:v>
      </x:c>
    </x:row>
    <x:row r="33" ht="48" customHeight="1">
      <x:c r="A33" s="88" t="n">
        <x:v>29</x:v>
      </x:c>
      <x:c r="B33" s="88" t="str">
        <x:v>外腐蚀与阴极保护</x:v>
      </x:c>
      <x:c r="C33" s="88" t="str">
        <x:v>external_corrosion.cp_off_potential_v</x:v>
      </x:c>
      <x:c r="D33" s="88" t="str">
        <x:v>断电电位</x:v>
      </x:c>
      <x:c r="E33" s="88" t="str">
        <x:v>segment</x:v>
      </x:c>
      <x:c r="F33" s="88" t="str">
        <x:v>number</x:v>
      </x:c>
      <x:c r="G33" s="88" t="str">
        <x:v>V</x:v>
      </x:c>
      <x:c r="H33" s="88" t="str">
        <x:v>engineering_indicators显式观测</x:v>
      </x:c>
      <x:c r="I33" s="89"/>
      <x:c r="J33" s="89"/>
      <x:c r="K33" s="90"/>
      <x:c r="L33" s="89"/>
      <x:c r="M33" s="89"/>
      <x:c r="N33" s="89" t="str">
        <x:v>未审核</x:v>
      </x:c>
      <x:c r="O33" s="89"/>
      <x:c r="P33" s="88" t="str">
        <x:v>SY/T 6891.2-2020 表1 运行维护/检测评价、7、附录A-B；SY/T 6891.2-2020 表4 腐蚀</x:v>
      </x:c>
      <x:c r="Q33" s="88" t="str">
        <x:f>IF(I33="","缺少真实值",IF(L33="","缺少来源",IF(M33="","缺少填报人",IF(N33&lt;&gt;"已审核","待审核","完整"))))</x:f>
        <x:v>缺少真实值</x:v>
      </x:c>
    </x:row>
    <x:row r="34" ht="48" customHeight="1">
      <x:c r="A34" s="88" t="n">
        <x:v>30</x:v>
      </x:c>
      <x:c r="B34" s="88" t="str">
        <x:v>外腐蚀与阴极保护</x:v>
      </x:c>
      <x:c r="C34" s="88" t="str">
        <x:v>external_corrosion.soil_resistivity_ohm_m</x:v>
      </x:c>
      <x:c r="D34" s="88" t="str">
        <x:v>土壤电阻率</x:v>
      </x:c>
      <x:c r="E34" s="88" t="str">
        <x:v>segment</x:v>
      </x:c>
      <x:c r="F34" s="88" t="str">
        <x:v>number</x:v>
      </x:c>
      <x:c r="G34" s="88" t="str">
        <x:v>ohm*m</x:v>
      </x:c>
      <x:c r="H34" s="88" t="str">
        <x:v>engineering_indicators显式观测</x:v>
      </x:c>
      <x:c r="I34" s="89"/>
      <x:c r="J34" s="89"/>
      <x:c r="K34" s="90"/>
      <x:c r="L34" s="89"/>
      <x:c r="M34" s="89"/>
      <x:c r="N34" s="89" t="str">
        <x:v>未审核</x:v>
      </x:c>
      <x:c r="O34" s="89"/>
      <x:c r="P34" s="88" t="str">
        <x:v>SY/T 6891.2-2020 表1 运行维护/检测评价、7、附录A-B；SY/T 6891.2-2020 表4 腐蚀</x:v>
      </x:c>
      <x:c r="Q34" s="88" t="str">
        <x:f>IF(I34="","缺少真实值",IF(L34="","缺少来源",IF(M34="","缺少填报人",IF(N34&lt;&gt;"已审核","待审核","完整"))))</x:f>
        <x:v>缺少真实值</x:v>
      </x:c>
    </x:row>
    <x:row r="35" ht="48" customHeight="1">
      <x:c r="A35" s="88" t="n">
        <x:v>31</x:v>
      </x:c>
      <x:c r="B35" s="88" t="str">
        <x:v>第三方损伤与占压活动</x:v>
      </x:c>
      <x:c r="C35" s="88" t="str">
        <x:v>third_party.burial_depth_m</x:v>
      </x:c>
      <x:c r="D35" s="88" t="str">
        <x:v>埋深</x:v>
      </x:c>
      <x:c r="E35" s="88" t="str">
        <x:v>segment</x:v>
      </x:c>
      <x:c r="F35" s="88" t="str">
        <x:v>number</x:v>
      </x:c>
      <x:c r="G35" s="88" t="str">
        <x:v>m</x:v>
      </x:c>
      <x:c r="H35" s="88" t="str">
        <x:v>segments.*.burial_depth_m</x:v>
      </x:c>
      <x:c r="I35" s="89"/>
      <x:c r="J35" s="89"/>
      <x:c r="K35" s="90"/>
      <x:c r="L35" s="89"/>
      <x:c r="M35" s="89"/>
      <x:c r="N35" s="89" t="str">
        <x:v>未审核</x:v>
      </x:c>
      <x:c r="O35" s="89"/>
      <x:c r="P35" s="88" t="str">
        <x:v>SY/T 6891.2-2020 表1 周边环境/运行维护、7、表4 第三方损坏；SY/T 6891.2-2020 附录C表C.1示例仅作数据源提示</x:v>
      </x:c>
      <x:c r="Q35" s="88" t="str">
        <x:f>IF(I35="","缺少真实值",IF(L35="","缺少来源",IF(M35="","缺少填报人",IF(N35&lt;&gt;"已审核","待审核","完整"))))</x:f>
        <x:v>缺少真实值</x:v>
      </x:c>
    </x:row>
    <x:row r="36" ht="48" customHeight="1">
      <x:c r="A36" s="88" t="n">
        <x:v>32</x:v>
      </x:c>
      <x:c r="B36" s="88" t="str">
        <x:v>第三方损伤与占压活动</x:v>
      </x:c>
      <x:c r="C36" s="88" t="str">
        <x:v>third_party.land_use_type</x:v>
      </x:c>
      <x:c r="D36" s="88" t="str">
        <x:v>土地利用类型</x:v>
      </x:c>
      <x:c r="E36" s="88" t="str">
        <x:v>segment</x:v>
      </x:c>
      <x:c r="F36" s="88" t="str">
        <x:v>string</x:v>
      </x:c>
      <x:c r="G36" s="88" t="str">
        <x:v>—</x:v>
      </x:c>
      <x:c r="H36" s="88" t="str">
        <x:v>engineering_indicators显式观测</x:v>
      </x:c>
      <x:c r="I36" s="89"/>
      <x:c r="J36" s="89"/>
      <x:c r="K36" s="90"/>
      <x:c r="L36" s="89"/>
      <x:c r="M36" s="89"/>
      <x:c r="N36" s="89" t="str">
        <x:v>未审核</x:v>
      </x:c>
      <x:c r="O36" s="89"/>
      <x:c r="P36" s="88" t="str">
        <x:v>SY/T 6891.2-2020 表1 周边环境/运行维护、7、表4 第三方损坏；SY/T 6891.2-2020 附录C表C.1示例仅作数据源提示</x:v>
      </x:c>
      <x:c r="Q36" s="88" t="str">
        <x:f>IF(I36="","缺少真实值",IF(L36="","缺少来源",IF(M36="","缺少填报人",IF(N36&lt;&gt;"已审核","待审核","完整"))))</x:f>
        <x:v>缺少真实值</x:v>
      </x:c>
    </x:row>
    <x:row r="37" ht="48" customHeight="1">
      <x:c r="A37" s="88" t="n">
        <x:v>33</x:v>
      </x:c>
      <x:c r="B37" s="88" t="str">
        <x:v>第三方损伤与占压活动</x:v>
      </x:c>
      <x:c r="C37" s="88" t="str">
        <x:v>third_party.area_activity_level</x:v>
      </x:c>
      <x:c r="D37" s="88" t="str">
        <x:v>区域活动等级</x:v>
      </x:c>
      <x:c r="E37" s="88" t="str">
        <x:v>segment</x:v>
      </x:c>
      <x:c r="F37" s="88" t="str">
        <x:v>string</x:v>
      </x:c>
      <x:c r="G37" s="88" t="str">
        <x:v>—</x:v>
      </x:c>
      <x:c r="H37" s="88" t="str">
        <x:v>segments.*.area_activity</x:v>
      </x:c>
      <x:c r="I37" s="89"/>
      <x:c r="J37" s="89"/>
      <x:c r="K37" s="90"/>
      <x:c r="L37" s="89"/>
      <x:c r="M37" s="89"/>
      <x:c r="N37" s="89" t="str">
        <x:v>未审核</x:v>
      </x:c>
      <x:c r="O37" s="89"/>
      <x:c r="P37" s="88" t="str">
        <x:v>SY/T 6891.2-2020 表1 周边环境/运行维护、7、表4 第三方损坏；SY/T 6891.2-2020 附录C表C.1示例仅作数据源提示</x:v>
      </x:c>
      <x:c r="Q37" s="88" t="str">
        <x:f>IF(I37="","缺少真实值",IF(L37="","缺少来源",IF(M37="","缺少填报人",IF(N37&lt;&gt;"已审核","待审核","完整"))))</x:f>
        <x:v>缺少真实值</x:v>
      </x:c>
    </x:row>
    <x:row r="38" ht="48" customHeight="1">
      <x:c r="A38" s="88" t="n">
        <x:v>34</x:v>
      </x:c>
      <x:c r="B38" s="88" t="str">
        <x:v>自然与地质灾害</x:v>
      </x:c>
      <x:c r="C38" s="88" t="str">
        <x:v>geohazard.terrain_type</x:v>
      </x:c>
      <x:c r="D38" s="88" t="str">
        <x:v>地形地貌类型</x:v>
      </x:c>
      <x:c r="E38" s="88" t="str">
        <x:v>segment</x:v>
      </x:c>
      <x:c r="F38" s="88" t="str">
        <x:v>string</x:v>
      </x:c>
      <x:c r="G38" s="88" t="str">
        <x:v>—</x:v>
      </x:c>
      <x:c r="H38" s="88" t="str">
        <x:v>engineering_indicators显式观测</x:v>
      </x:c>
      <x:c r="I38" s="89"/>
      <x:c r="J38" s="89"/>
      <x:c r="K38" s="90"/>
      <x:c r="L38" s="89"/>
      <x:c r="M38" s="89"/>
      <x:c r="N38" s="89" t="str">
        <x:v>未审核</x:v>
      </x:c>
      <x:c r="O38" s="89"/>
      <x:c r="P38" s="88" t="str">
        <x:v>SY/T 6891.2-2020 表1 周边环境/管道风险、7、表4 自然与地质灾害</x:v>
      </x:c>
      <x:c r="Q38" s="88" t="str">
        <x:f>IF(I38="","缺少真实值",IF(L38="","缺少来源",IF(M38="","缺少填报人",IF(N38&lt;&gt;"已审核","待审核","完整"))))</x:f>
        <x:v>缺少真实值</x:v>
      </x:c>
    </x:row>
    <x:row r="39" ht="48" customHeight="1">
      <x:c r="A39" s="88" t="n">
        <x:v>35</x:v>
      </x:c>
      <x:c r="B39" s="88" t="str">
        <x:v>气象、地面条件与扩散环境</x:v>
      </x:c>
      <x:c r="C39" s="88" t="str">
        <x:v>weather_terrain.wind_speed_m_s</x:v>
      </x:c>
      <x:c r="D39" s="88" t="str">
        <x:v>风速</x:v>
      </x:c>
      <x:c r="E39" s="88" t="str">
        <x:v>weather_or_segment</x:v>
      </x:c>
      <x:c r="F39" s="88" t="str">
        <x:v>number</x:v>
      </x:c>
      <x:c r="G39" s="88" t="str">
        <x:v>m/s</x:v>
      </x:c>
      <x:c r="H39" s="88" t="str">
        <x:v>weather_joint_probability.*.wind_speed_m_s</x:v>
      </x:c>
      <x:c r="I39" s="89"/>
      <x:c r="J39" s="89"/>
      <x:c r="K39" s="90"/>
      <x:c r="L39" s="89"/>
      <x:c r="M39" s="89"/>
      <x:c r="N39" s="89" t="str">
        <x:v>未审核</x:v>
      </x:c>
      <x:c r="O39" s="89"/>
      <x:c r="P39" s="88" t="str">
        <x:v>SY/T 6891.2-2020 表1 周边环境、9.2、10；AQ/T 3046-2013 9、附录E</x:v>
      </x:c>
      <x:c r="Q39" s="88" t="str">
        <x:f>IF(I39="","缺少真实值",IF(L39="","缺少来源",IF(M39="","缺少填报人",IF(N39&lt;&gt;"已审核","待审核","完整"))))</x:f>
        <x:v>缺少真实值</x:v>
      </x:c>
    </x:row>
    <x:row r="40" ht="48" customHeight="1">
      <x:c r="A40" s="88" t="n">
        <x:v>36</x:v>
      </x:c>
      <x:c r="B40" s="88" t="str">
        <x:v>气象、地面条件与扩散环境</x:v>
      </x:c>
      <x:c r="C40" s="88" t="str">
        <x:v>weather_terrain.wind_direction</x:v>
      </x:c>
      <x:c r="D40" s="88" t="str">
        <x:v>风向</x:v>
      </x:c>
      <x:c r="E40" s="88" t="str">
        <x:v>weather_or_segment</x:v>
      </x:c>
      <x:c r="F40" s="88" t="str">
        <x:v>string</x:v>
      </x:c>
      <x:c r="G40" s="88" t="str">
        <x:v>—</x:v>
      </x:c>
      <x:c r="H40" s="88" t="str">
        <x:v>weather_joint_probability.*.wind_direction_from</x:v>
      </x:c>
      <x:c r="I40" s="89"/>
      <x:c r="J40" s="89"/>
      <x:c r="K40" s="90"/>
      <x:c r="L40" s="89"/>
      <x:c r="M40" s="89"/>
      <x:c r="N40" s="89" t="str">
        <x:v>未审核</x:v>
      </x:c>
      <x:c r="O40" s="89"/>
      <x:c r="P40" s="88" t="str">
        <x:v>SY/T 6891.2-2020 表1 周边环境、9.2、10；AQ/T 3046-2013 9、附录E</x:v>
      </x:c>
      <x:c r="Q40" s="88" t="str">
        <x:f>IF(I40="","缺少真实值",IF(L40="","缺少来源",IF(M40="","缺少填报人",IF(N40&lt;&gt;"已审核","待审核","完整"))))</x:f>
        <x:v>缺少真实值</x:v>
      </x:c>
    </x:row>
    <x:row r="41" ht="48" customHeight="1">
      <x:c r="A41" s="88" t="n">
        <x:v>37</x:v>
      </x:c>
      <x:c r="B41" s="88" t="str">
        <x:v>气象、地面条件与扩散环境</x:v>
      </x:c>
      <x:c r="C41" s="88" t="str">
        <x:v>weather_terrain.stability_class</x:v>
      </x:c>
      <x:c r="D41" s="88" t="str">
        <x:v>大气稳定度</x:v>
      </x:c>
      <x:c r="E41" s="88" t="str">
        <x:v>weather_or_segment</x:v>
      </x:c>
      <x:c r="F41" s="88" t="str">
        <x:v>string</x:v>
      </x:c>
      <x:c r="G41" s="88" t="str">
        <x:v>—</x:v>
      </x:c>
      <x:c r="H41" s="88" t="str">
        <x:v>weather_joint_probability.*.stability_class</x:v>
      </x:c>
      <x:c r="I41" s="89"/>
      <x:c r="J41" s="89"/>
      <x:c r="K41" s="90"/>
      <x:c r="L41" s="89"/>
      <x:c r="M41" s="89"/>
      <x:c r="N41" s="89" t="str">
        <x:v>未审核</x:v>
      </x:c>
      <x:c r="O41" s="89"/>
      <x:c r="P41" s="88" t="str">
        <x:v>SY/T 6891.2-2020 表1 周边环境、9.2、10；AQ/T 3046-2013 9、附录E</x:v>
      </x:c>
      <x:c r="Q41" s="88" t="str">
        <x:f>IF(I41="","缺少真实值",IF(L41="","缺少来源",IF(M41="","缺少填报人",IF(N41&lt;&gt;"已审核","待审核","完整"))))</x:f>
        <x:v>缺少真实值</x:v>
      </x:c>
    </x:row>
    <x:row r="42" ht="48" customHeight="1">
      <x:c r="A42" s="88" t="n">
        <x:v>38</x:v>
      </x:c>
      <x:c r="B42" s="88" t="str">
        <x:v>气象、地面条件与扩散环境</x:v>
      </x:c>
      <x:c r="C42" s="88" t="str">
        <x:v>weather_terrain.weather_probability</x:v>
      </x:c>
      <x:c r="D42" s="88" t="str">
        <x:v>气象联合概率</x:v>
      </x:c>
      <x:c r="E42" s="88" t="str">
        <x:v>weather_or_segment</x:v>
      </x:c>
      <x:c r="F42" s="88" t="str">
        <x:v>number</x:v>
      </x:c>
      <x:c r="G42" s="88" t="str">
        <x:v>—</x:v>
      </x:c>
      <x:c r="H42" s="88" t="str">
        <x:v>weather_joint_probability.*.probability</x:v>
      </x:c>
      <x:c r="I42" s="89"/>
      <x:c r="J42" s="89"/>
      <x:c r="K42" s="90"/>
      <x:c r="L42" s="89"/>
      <x:c r="M42" s="89"/>
      <x:c r="N42" s="89" t="str">
        <x:v>未审核</x:v>
      </x:c>
      <x:c r="O42" s="89"/>
      <x:c r="P42" s="88" t="str">
        <x:v>SY/T 6891.2-2020 表1 周边环境、9.2、10；AQ/T 3046-2013 9、附录E</x:v>
      </x:c>
      <x:c r="Q42" s="88" t="str">
        <x:f>IF(I42="","缺少真实值",IF(L42="","缺少来源",IF(M42="","缺少填报人",IF(N42&lt;&gt;"已审核","待审核","完整"))))</x:f>
        <x:v>缺少真实值</x:v>
      </x:c>
    </x:row>
    <x:row r="43" ht="48" customHeight="1">
      <x:c r="A43" s="88" t="n">
        <x:v>39</x:v>
      </x:c>
      <x:c r="B43" s="88" t="str">
        <x:v>气象、地面条件与扩散环境</x:v>
      </x:c>
      <x:c r="C43" s="88" t="str">
        <x:v>weather_terrain.ambient_temperature_k</x:v>
      </x:c>
      <x:c r="D43" s="88" t="str">
        <x:v>环境温度</x:v>
      </x:c>
      <x:c r="E43" s="88" t="str">
        <x:v>weather_or_segment</x:v>
      </x:c>
      <x:c r="F43" s="88" t="str">
        <x:v>number</x:v>
      </x:c>
      <x:c r="G43" s="88" t="str">
        <x:v>K</x:v>
      </x:c>
      <x:c r="H43" s="88" t="str">
        <x:v>standard_formula_test_parameters.aqt3046_physical_chain.ambient_temperature_k</x:v>
      </x:c>
      <x:c r="I43" s="89"/>
      <x:c r="J43" s="89"/>
      <x:c r="K43" s="90"/>
      <x:c r="L43" s="89"/>
      <x:c r="M43" s="89"/>
      <x:c r="N43" s="89" t="str">
        <x:v>未审核</x:v>
      </x:c>
      <x:c r="O43" s="89"/>
      <x:c r="P43" s="88" t="str">
        <x:v>SY/T 6891.2-2020 表1 周边环境、9.2、10；AQ/T 3046-2013 9、附录E</x:v>
      </x:c>
      <x:c r="Q43" s="88" t="str">
        <x:f>IF(I43="","缺少真实值",IF(L43="","缺少来源",IF(M43="","缺少填报人",IF(N43&lt;&gt;"已审核","待审核","完整"))))</x:f>
        <x:v>缺少真实值</x:v>
      </x:c>
    </x:row>
    <x:row r="44" ht="48" customHeight="1">
      <x:c r="A44" s="88" t="n">
        <x:v>40</x:v>
      </x:c>
      <x:c r="B44" s="88" t="str">
        <x:v>气象、地面条件与扩散环境</x:v>
      </x:c>
      <x:c r="C44" s="88" t="str">
        <x:v>weather_terrain.ambient_pressure_pa</x:v>
      </x:c>
      <x:c r="D44" s="88" t="str">
        <x:v>环境绝对压力</x:v>
      </x:c>
      <x:c r="E44" s="88" t="str">
        <x:v>weather_or_segment</x:v>
      </x:c>
      <x:c r="F44" s="88" t="str">
        <x:v>number</x:v>
      </x:c>
      <x:c r="G44" s="88" t="str">
        <x:v>Pa</x:v>
      </x:c>
      <x:c r="H44" s="88" t="str">
        <x:v>standard_formula_test_parameters.aqt3046_physical_chain.ambient_pressure_pa_abs</x:v>
      </x:c>
      <x:c r="I44" s="89"/>
      <x:c r="J44" s="89"/>
      <x:c r="K44" s="90"/>
      <x:c r="L44" s="89"/>
      <x:c r="M44" s="89"/>
      <x:c r="N44" s="89" t="str">
        <x:v>未审核</x:v>
      </x:c>
      <x:c r="O44" s="89"/>
      <x:c r="P44" s="88" t="str">
        <x:v>SY/T 6891.2-2020 表1 周边环境、9.2、10；AQ/T 3046-2013 9、附录E</x:v>
      </x:c>
      <x:c r="Q44" s="88" t="str">
        <x:f>IF(I44="","缺少真实值",IF(L44="","缺少来源",IF(M44="","缺少填报人",IF(N44&lt;&gt;"已审核","待审核","完整"))))</x:f>
        <x:v>缺少真实值</x:v>
      </x:c>
    </x:row>
    <x:row r="45" ht="48" customHeight="1">
      <x:c r="A45" s="88" t="n">
        <x:v>41</x:v>
      </x:c>
      <x:c r="B45" s="88" t="str">
        <x:v>气象、地面条件与扩散环境</x:v>
      </x:c>
      <x:c r="C45" s="88" t="str">
        <x:v>weather_terrain.dispersion_terrain_class</x:v>
      </x:c>
      <x:c r="D45" s="88" t="str">
        <x:v>扩散地形类别</x:v>
      </x:c>
      <x:c r="E45" s="88" t="str">
        <x:v>weather_or_segment</x:v>
      </x:c>
      <x:c r="F45" s="88" t="str">
        <x:v>string</x:v>
      </x:c>
      <x:c r="G45" s="88" t="str">
        <x:v>—</x:v>
      </x:c>
      <x:c r="H45" s="88" t="str">
        <x:v>engineering_indicators显式观测</x:v>
      </x:c>
      <x:c r="I45" s="89"/>
      <x:c r="J45" s="89"/>
      <x:c r="K45" s="90"/>
      <x:c r="L45" s="89"/>
      <x:c r="M45" s="89"/>
      <x:c r="N45" s="89" t="str">
        <x:v>未审核</x:v>
      </x:c>
      <x:c r="O45" s="89"/>
      <x:c r="P45" s="88" t="str">
        <x:v>SY/T 6891.2-2020 表1 周边环境、9.2、10；AQ/T 3046-2013 9、附录E</x:v>
      </x:c>
      <x:c r="Q45" s="88" t="str">
        <x:f>IF(I45="","缺少真实值",IF(L45="","缺少来源",IF(M45="","缺少填报人",IF(N45&lt;&gt;"已审核","待审核","完整"))))</x:f>
        <x:v>缺少真实值</x:v>
      </x:c>
    </x:row>
    <x:row r="46" ht="48" customHeight="1">
      <x:c r="A46" s="88" t="n">
        <x:v>42</x:v>
      </x:c>
      <x:c r="B46" s="88" t="str">
        <x:v>气象、地面条件与扩散环境</x:v>
      </x:c>
      <x:c r="C46" s="88" t="str">
        <x:v>weather_terrain.meteorological_data_years</x:v>
      </x:c>
      <x:c r="D46" s="88" t="str">
        <x:v>气象统计年限</x:v>
      </x:c>
      <x:c r="E46" s="88" t="str">
        <x:v>weather_or_segment</x:v>
      </x:c>
      <x:c r="F46" s="88" t="str">
        <x:v>number</x:v>
      </x:c>
      <x:c r="G46" s="88" t="str">
        <x:v>year</x:v>
      </x:c>
      <x:c r="H46" s="88" t="str">
        <x:v>engineering_indicators显式观测</x:v>
      </x:c>
      <x:c r="I46" s="89"/>
      <x:c r="J46" s="89"/>
      <x:c r="K46" s="90"/>
      <x:c r="L46" s="89"/>
      <x:c r="M46" s="89"/>
      <x:c r="N46" s="89" t="str">
        <x:v>未审核</x:v>
      </x:c>
      <x:c r="O46" s="89"/>
      <x:c r="P46" s="88" t="str">
        <x:v>SY/T 6891.2-2020 表1 周边环境、9.2、10；AQ/T 3046-2013 9、附录E</x:v>
      </x:c>
      <x:c r="Q46" s="88" t="str">
        <x:f>IF(I46="","缺少真实值",IF(L46="","缺少来源",IF(M46="","缺少填报人",IF(N46&lt;&gt;"已审核","待审核","完整"))))</x:f>
        <x:v>缺少真实值</x:v>
      </x:c>
    </x:row>
    <x:row r="47" ht="48" customHeight="1">
      <x:c r="A47" s="88" t="n">
        <x:v>43</x:v>
      </x:c>
      <x:c r="B47" s="88" t="str">
        <x:v>人口、建筑与敏感受体</x:v>
      </x:c>
      <x:c r="C47" s="88" t="str">
        <x:v>population_receptors.receptor_xy</x:v>
      </x:c>
      <x:c r="D47" s="88" t="str">
        <x:v>受体坐标</x:v>
      </x:c>
      <x:c r="E47" s="88" t="str">
        <x:v>population_cell</x:v>
      </x:c>
      <x:c r="F47" s="88" t="str">
        <x:v>array</x:v>
      </x:c>
      <x:c r="G47" s="88" t="str">
        <x:v>m</x:v>
      </x:c>
      <x:c r="H47" s="88" t="str">
        <x:v>population_cells.*.xy_m</x:v>
      </x:c>
      <x:c r="I47" s="89"/>
      <x:c r="J47" s="89"/>
      <x:c r="K47" s="90"/>
      <x:c r="L47" s="89"/>
      <x:c r="M47" s="89"/>
      <x:c r="N47" s="89" t="str">
        <x:v>未审核</x:v>
      </x:c>
      <x:c r="O47" s="89"/>
      <x:c r="P47" s="88" t="str">
        <x:v>SY/T 6891.2-2020 表1 周边环境、10-11；AQ/T 3046-2013 10-13</x:v>
      </x:c>
      <x:c r="Q47" s="88" t="str">
        <x:f>IF(I47="","缺少真实值",IF(L47="","缺少来源",IF(M47="","缺少填报人",IF(N47&lt;&gt;"已审核","待审核","完整"))))</x:f>
        <x:v>缺少真实值</x:v>
      </x:c>
    </x:row>
    <x:row r="48" ht="48" customHeight="1">
      <x:c r="A48" s="88" t="n">
        <x:v>44</x:v>
      </x:c>
      <x:c r="B48" s="88" t="str">
        <x:v>人口、建筑与敏感受体</x:v>
      </x:c>
      <x:c r="C48" s="88" t="str">
        <x:v>population_receptors.receptor_type</x:v>
      </x:c>
      <x:c r="D48" s="88" t="str">
        <x:v>受体类型</x:v>
      </x:c>
      <x:c r="E48" s="88" t="str">
        <x:v>population_cell</x:v>
      </x:c>
      <x:c r="F48" s="88" t="str">
        <x:v>string</x:v>
      </x:c>
      <x:c r="G48" s="88" t="str">
        <x:v>—</x:v>
      </x:c>
      <x:c r="H48" s="88" t="str">
        <x:v>population_cells.*.receptor_type</x:v>
      </x:c>
      <x:c r="I48" s="89"/>
      <x:c r="J48" s="89"/>
      <x:c r="K48" s="90"/>
      <x:c r="L48" s="89"/>
      <x:c r="M48" s="89"/>
      <x:c r="N48" s="89" t="str">
        <x:v>未审核</x:v>
      </x:c>
      <x:c r="O48" s="89"/>
      <x:c r="P48" s="88" t="str">
        <x:v>SY/T 6891.2-2020 表1 周边环境、10-11；AQ/T 3046-2013 10-13</x:v>
      </x:c>
      <x:c r="Q48" s="88" t="str">
        <x:f>IF(I48="","缺少真实值",IF(L48="","缺少来源",IF(M48="","缺少填报人",IF(N48&lt;&gt;"已审核","待审核","完整"))))</x:f>
        <x:v>缺少真实值</x:v>
      </x:c>
    </x:row>
    <x:row r="49" ht="48" customHeight="1">
      <x:c r="A49" s="88" t="n">
        <x:v>45</x:v>
      </x:c>
      <x:c r="B49" s="88" t="str">
        <x:v>人口、建筑与敏感受体</x:v>
      </x:c>
      <x:c r="C49" s="88" t="str">
        <x:v>population_receptors.population_day</x:v>
      </x:c>
      <x:c r="D49" s="88" t="str">
        <x:v>昼间人口</x:v>
      </x:c>
      <x:c r="E49" s="88" t="str">
        <x:v>population_cell</x:v>
      </x:c>
      <x:c r="F49" s="88" t="str">
        <x:v>number</x:v>
      </x:c>
      <x:c r="G49" s="88" t="str">
        <x:v>person</x:v>
      </x:c>
      <x:c r="H49" s="88" t="str">
        <x:v>population_cells.*.population_day</x:v>
      </x:c>
      <x:c r="I49" s="89"/>
      <x:c r="J49" s="89"/>
      <x:c r="K49" s="90"/>
      <x:c r="L49" s="89"/>
      <x:c r="M49" s="89"/>
      <x:c r="N49" s="89" t="str">
        <x:v>未审核</x:v>
      </x:c>
      <x:c r="O49" s="89"/>
      <x:c r="P49" s="88" t="str">
        <x:v>SY/T 6891.2-2020 表1 周边环境、10-11；AQ/T 3046-2013 10-13</x:v>
      </x:c>
      <x:c r="Q49" s="88" t="str">
        <x:f>IF(I49="","缺少真实值",IF(L49="","缺少来源",IF(M49="","缺少填报人",IF(N49&lt;&gt;"已审核","待审核","完整"))))</x:f>
        <x:v>缺少真实值</x:v>
      </x:c>
    </x:row>
    <x:row r="50" ht="48" customHeight="1">
      <x:c r="A50" s="88" t="n">
        <x:v>46</x:v>
      </x:c>
      <x:c r="B50" s="88" t="str">
        <x:v>人口、建筑与敏感受体</x:v>
      </x:c>
      <x:c r="C50" s="88" t="str">
        <x:v>population_receptors.population_night</x:v>
      </x:c>
      <x:c r="D50" s="88" t="str">
        <x:v>夜间人口</x:v>
      </x:c>
      <x:c r="E50" s="88" t="str">
        <x:v>population_cell</x:v>
      </x:c>
      <x:c r="F50" s="88" t="str">
        <x:v>number</x:v>
      </x:c>
      <x:c r="G50" s="88" t="str">
        <x:v>person</x:v>
      </x:c>
      <x:c r="H50" s="88" t="str">
        <x:v>population_cells.*.population_night</x:v>
      </x:c>
      <x:c r="I50" s="89"/>
      <x:c r="J50" s="89"/>
      <x:c r="K50" s="90"/>
      <x:c r="L50" s="89"/>
      <x:c r="M50" s="89"/>
      <x:c r="N50" s="89" t="str">
        <x:v>未审核</x:v>
      </x:c>
      <x:c r="O50" s="89"/>
      <x:c r="P50" s="88" t="str">
        <x:v>SY/T 6891.2-2020 表1 周边环境、10-11；AQ/T 3046-2013 10-13</x:v>
      </x:c>
      <x:c r="Q50" s="88" t="str">
        <x:f>IF(I50="","缺少真实值",IF(L50="","缺少来源",IF(M50="","缺少填报人",IF(N50&lt;&gt;"已审核","待审核","完整"))))</x:f>
        <x:v>缺少真实值</x:v>
      </x:c>
    </x:row>
    <x:row r="51" ht="48" customHeight="1">
      <x:c r="A51" s="88" t="n">
        <x:v>47</x:v>
      </x:c>
      <x:c r="B51" s="88" t="str">
        <x:v>人口、建筑与敏感受体</x:v>
      </x:c>
      <x:c r="C51" s="88" t="str">
        <x:v>population_receptors.outdoor_fraction_day</x:v>
      </x:c>
      <x:c r="D51" s="88" t="str">
        <x:v>昼间室外人口比例</x:v>
      </x:c>
      <x:c r="E51" s="88" t="str">
        <x:v>population_cell</x:v>
      </x:c>
      <x:c r="F51" s="88" t="str">
        <x:v>number</x:v>
      </x:c>
      <x:c r="G51" s="88" t="str">
        <x:v>—</x:v>
      </x:c>
      <x:c r="H51" s="88" t="str">
        <x:v>population_cells.*.outdoor_fraction_day</x:v>
      </x:c>
      <x:c r="I51" s="89"/>
      <x:c r="J51" s="89"/>
      <x:c r="K51" s="90"/>
      <x:c r="L51" s="89"/>
      <x:c r="M51" s="89"/>
      <x:c r="N51" s="89" t="str">
        <x:v>未审核</x:v>
      </x:c>
      <x:c r="O51" s="89"/>
      <x:c r="P51" s="88" t="str">
        <x:v>SY/T 6891.2-2020 表1 周边环境、10-11；AQ/T 3046-2013 10-13</x:v>
      </x:c>
      <x:c r="Q51" s="88" t="str">
        <x:f>IF(I51="","缺少真实值",IF(L51="","缺少来源",IF(M51="","缺少填报人",IF(N51&lt;&gt;"已审核","待审核","完整"))))</x:f>
        <x:v>缺少真实值</x:v>
      </x:c>
    </x:row>
    <x:row r="52" ht="48" customHeight="1">
      <x:c r="A52" s="88" t="n">
        <x:v>48</x:v>
      </x:c>
      <x:c r="B52" s="88" t="str">
        <x:v>人口、建筑与敏感受体</x:v>
      </x:c>
      <x:c r="C52" s="88" t="str">
        <x:v>population_receptors.outdoor_fraction_night</x:v>
      </x:c>
      <x:c r="D52" s="88" t="str">
        <x:v>夜间室外人口比例</x:v>
      </x:c>
      <x:c r="E52" s="88" t="str">
        <x:v>population_cell</x:v>
      </x:c>
      <x:c r="F52" s="88" t="str">
        <x:v>number</x:v>
      </x:c>
      <x:c r="G52" s="88" t="str">
        <x:v>—</x:v>
      </x:c>
      <x:c r="H52" s="88" t="str">
        <x:v>population_cells.*.outdoor_fraction_night</x:v>
      </x:c>
      <x:c r="I52" s="89"/>
      <x:c r="J52" s="89"/>
      <x:c r="K52" s="90"/>
      <x:c r="L52" s="89"/>
      <x:c r="M52" s="89"/>
      <x:c r="N52" s="89" t="str">
        <x:v>未审核</x:v>
      </x:c>
      <x:c r="O52" s="89"/>
      <x:c r="P52" s="88" t="str">
        <x:v>SY/T 6891.2-2020 表1 周边环境、10-11；AQ/T 3046-2013 10-13</x:v>
      </x:c>
      <x:c r="Q52" s="88" t="str">
        <x:f>IF(I52="","缺少真实值",IF(L52="","缺少来源",IF(M52="","缺少填报人",IF(N52&lt;&gt;"已审核","待审核","完整"))))</x:f>
        <x:v>缺少真实值</x:v>
      </x:c>
    </x:row>
    <x:row r="53" ht="48" customHeight="1">
      <x:c r="A53" s="88" t="n">
        <x:v>49</x:v>
      </x:c>
      <x:c r="B53" s="88" t="str">
        <x:v>点火源、约束与拥塞</x:v>
      </x:c>
      <x:c r="C53" s="88" t="str">
        <x:v>ignition_congestion.material_reactivity_class</x:v>
      </x:c>
      <x:c r="D53" s="88" t="str">
        <x:v>物质活性分类</x:v>
      </x:c>
      <x:c r="E53" s="88" t="str">
        <x:v>segment_or_source</x:v>
      </x:c>
      <x:c r="F53" s="88" t="str">
        <x:v>string</x:v>
      </x:c>
      <x:c r="G53" s="88" t="str">
        <x:v>—</x:v>
      </x:c>
      <x:c r="H53" s="88" t="str">
        <x:v>standard_formula_test_parameters.aqt3046_physical_chain.ignition_model.material_reactivity_class</x:v>
      </x:c>
      <x:c r="I53" s="89"/>
      <x:c r="J53" s="89"/>
      <x:c r="K53" s="90"/>
      <x:c r="L53" s="89"/>
      <x:c r="M53" s="89"/>
      <x:c r="N53" s="89" t="str">
        <x:v>未审核</x:v>
      </x:c>
      <x:c r="O53" s="89"/>
      <x:c r="P53" s="88" t="str">
        <x:v>SY/T 6891.2-2020 附录D-E；AQ/T 3046-2013 附录E.4.4、G</x:v>
      </x:c>
      <x:c r="Q53" s="88" t="str">
        <x:f>IF(I53="","缺少真实值",IF(L53="","缺少来源",IF(M53="","缺少填报人",IF(N53&lt;&gt;"已审核","待审核","完整"))))</x:f>
        <x:v>缺少真实值</x:v>
      </x:c>
    </x:row>
    <x:row r="54" ht="48" customHeight="1">
      <x:c r="A54" s="88" t="n">
        <x:v>50</x:v>
      </x:c>
      <x:c r="B54" s="88" t="str">
        <x:v>运行管理、人因与应急</x:v>
      </x:c>
      <x:c r="C54" s="88" t="str">
        <x:v>management_emergency.operating_procedure_available</x:v>
      </x:c>
      <x:c r="D54" s="88" t="str">
        <x:v>运行规程完整</x:v>
      </x:c>
      <x:c r="E54" s="88" t="str">
        <x:v>pipeline_or_segment</x:v>
      </x:c>
      <x:c r="F54" s="88" t="str">
        <x:v>boolean</x:v>
      </x:c>
      <x:c r="G54" s="88" t="str">
        <x:v>—</x:v>
      </x:c>
      <x:c r="H54" s="88" t="str">
        <x:v>engineering_indicators显式观测</x:v>
      </x:c>
      <x:c r="I54" s="89"/>
      <x:c r="J54" s="89"/>
      <x:c r="K54" s="90"/>
      <x:c r="L54" s="89"/>
      <x:c r="M54" s="89"/>
      <x:c r="N54" s="89" t="str">
        <x:v>未审核</x:v>
      </x:c>
      <x:c r="O54" s="89"/>
      <x:c r="P54" s="88" t="str">
        <x:v>SY/T 6891.2-2020 表1 运行维护/应急管理、表4 误操作/后果；GB/T 27921-2023 6.1-6.6</x:v>
      </x:c>
      <x:c r="Q54" s="88" t="str">
        <x:f>IF(I54="","缺少真实值",IF(L54="","缺少来源",IF(M54="","缺少填报人",IF(N54&lt;&gt;"已审核","待审核","完整"))))</x:f>
        <x:v>缺少真实值</x:v>
      </x:c>
    </x:row>
    <x:row r="55" ht="48" customHeight="1">
      <x:c r="A55" s="88" t="n">
        <x:v>51</x:v>
      </x:c>
      <x:c r="B55" s="88" t="str">
        <x:v>运行管理、人因与应急</x:v>
      </x:c>
      <x:c r="C55" s="88" t="str">
        <x:v>management_emergency.emergency_isolation_procedure_available</x:v>
      </x:c>
      <x:c r="D55" s="88" t="str">
        <x:v>紧急隔离程序可用</x:v>
      </x:c>
      <x:c r="E55" s="88" t="str">
        <x:v>pipeline_or_segment</x:v>
      </x:c>
      <x:c r="F55" s="88" t="str">
        <x:v>boolean</x:v>
      </x:c>
      <x:c r="G55" s="88" t="str">
        <x:v>—</x:v>
      </x:c>
      <x:c r="H55" s="88" t="str">
        <x:v>engineering_indicators显式观测</x:v>
      </x:c>
      <x:c r="I55" s="89"/>
      <x:c r="J55" s="89"/>
      <x:c r="K55" s="90"/>
      <x:c r="L55" s="89"/>
      <x:c r="M55" s="89"/>
      <x:c r="N55" s="89" t="str">
        <x:v>未审核</x:v>
      </x:c>
      <x:c r="O55" s="89"/>
      <x:c r="P55" s="88" t="str">
        <x:v>SY/T 6891.2-2020 表1 运行维护/应急管理、表4 误操作/后果；GB/T 27921-2023 6.1-6.6</x:v>
      </x:c>
      <x:c r="Q55" s="88" t="str">
        <x:f>IF(I55="","缺少真实值",IF(L55="","缺少来源",IF(M55="","缺少填报人",IF(N55&lt;&gt;"已审核","待审核","完整"))))</x:f>
        <x:v>缺少真实值</x:v>
      </x:c>
    </x:row>
    <x:row r="56" ht="48" customHeight="1">
      <x:c r="A56" s="88" t="n">
        <x:v>52</x:v>
      </x:c>
      <x:c r="B56" s="88" t="str">
        <x:v>物性与人员后果模型参数</x:v>
      </x:c>
      <x:c r="C56" s="88" t="str">
        <x:v>consequence_parameters.molar_mass_kg_mol</x:v>
      </x:c>
      <x:c r="D56" s="88" t="str">
        <x:v>气体摩尔质量</x:v>
      </x:c>
      <x:c r="E56" s="88" t="str">
        <x:v>model_parameter</x:v>
      </x:c>
      <x:c r="F56" s="88" t="str">
        <x:v>number</x:v>
      </x:c>
      <x:c r="G56" s="88" t="str">
        <x:v>kg/mol</x:v>
      </x:c>
      <x:c r="H56" s="88" t="str">
        <x:v>standard_formula_test_parameters.aqt3046_physical_chain.molar_mass_kg_mol</x:v>
      </x:c>
      <x:c r="I56" s="89"/>
      <x:c r="J56" s="89"/>
      <x:c r="K56" s="90"/>
      <x:c r="L56" s="89"/>
      <x:c r="M56" s="89"/>
      <x:c r="N56" s="89" t="str">
        <x:v>未审核</x:v>
      </x:c>
      <x:c r="O56" s="89"/>
      <x:c r="P56" s="88" t="str">
        <x:v>AQ/T 3046-2013 8-13、附录E、G、H、I</x:v>
      </x:c>
      <x:c r="Q56" s="88" t="str">
        <x:f>IF(I56="","缺少真实值",IF(L56="","缺少来源",IF(M56="","缺少填报人",IF(N56&lt;&gt;"已审核","待审核","完整"))))</x:f>
        <x:v>缺少真实值</x:v>
      </x:c>
    </x:row>
    <x:row r="57" ht="48" customHeight="1">
      <x:c r="A57" s="88" t="n">
        <x:v>53</x:v>
      </x:c>
      <x:c r="B57" s="88" t="str">
        <x:v>物性与人员后果模型参数</x:v>
      </x:c>
      <x:c r="C57" s="88" t="str">
        <x:v>consequence_parameters.heat_capacity_ratio</x:v>
      </x:c>
      <x:c r="D57" s="88" t="str">
        <x:v>气体绝热指数</x:v>
      </x:c>
      <x:c r="E57" s="88" t="str">
        <x:v>model_parameter</x:v>
      </x:c>
      <x:c r="F57" s="88" t="str">
        <x:v>number</x:v>
      </x:c>
      <x:c r="G57" s="88" t="str">
        <x:v>—</x:v>
      </x:c>
      <x:c r="H57" s="88" t="str">
        <x:v>standard_formula_test_parameters.aqt3046_physical_chain.gamma</x:v>
      </x:c>
      <x:c r="I57" s="89"/>
      <x:c r="J57" s="89"/>
      <x:c r="K57" s="90"/>
      <x:c r="L57" s="89"/>
      <x:c r="M57" s="89"/>
      <x:c r="N57" s="89" t="str">
        <x:v>未审核</x:v>
      </x:c>
      <x:c r="O57" s="89"/>
      <x:c r="P57" s="88" t="str">
        <x:v>AQ/T 3046-2013 8-13、附录E、G、H、I</x:v>
      </x:c>
      <x:c r="Q57" s="88" t="str">
        <x:f>IF(I57="","缺少真实值",IF(L57="","缺少来源",IF(M57="","缺少填报人",IF(N57&lt;&gt;"已审核","待审核","完整"))))</x:f>
        <x:v>缺少真实值</x:v>
      </x:c>
    </x:row>
    <x:row r="58" ht="48" customHeight="1">
      <x:c r="A58" s="88" t="n">
        <x:v>54</x:v>
      </x:c>
      <x:c r="B58" s="88" t="str">
        <x:v>物性与人员后果模型参数</x:v>
      </x:c>
      <x:c r="C58" s="88" t="str">
        <x:v>consequence_parameters.discharge_coefficient</x:v>
      </x:c>
      <x:c r="D58" s="88" t="str">
        <x:v>泄漏系数</x:v>
      </x:c>
      <x:c r="E58" s="88" t="str">
        <x:v>model_parameter</x:v>
      </x:c>
      <x:c r="F58" s="88" t="str">
        <x:v>number</x:v>
      </x:c>
      <x:c r="G58" s="88" t="str">
        <x:v>—</x:v>
      </x:c>
      <x:c r="H58" s="88" t="str">
        <x:v>standard_formula_test_parameters.aqt3046_physical_chain.gas_discharge_coefficient</x:v>
      </x:c>
      <x:c r="I58" s="89"/>
      <x:c r="J58" s="89"/>
      <x:c r="K58" s="90"/>
      <x:c r="L58" s="89"/>
      <x:c r="M58" s="89"/>
      <x:c r="N58" s="89" t="str">
        <x:v>未审核</x:v>
      </x:c>
      <x:c r="O58" s="89"/>
      <x:c r="P58" s="88" t="str">
        <x:v>AQ/T 3046-2013 8-13、附录E、G、H、I</x:v>
      </x:c>
      <x:c r="Q58" s="88" t="str">
        <x:f>IF(I58="","缺少真实值",IF(L58="","缺少来源",IF(M58="","缺少填报人",IF(N58&lt;&gt;"已审核","待审核","完整"))))</x:f>
        <x:v>缺少真实值</x:v>
      </x:c>
    </x:row>
    <x:row r="59" ht="48" customHeight="1">
      <x:c r="A59" s="88" t="n">
        <x:v>55</x:v>
      </x:c>
      <x:c r="B59" s="88" t="str">
        <x:v>物性与人员后果模型参数</x:v>
      </x:c>
      <x:c r="C59" s="88" t="str">
        <x:v>consequence_parameters.heat_of_combustion_j_kg</x:v>
      </x:c>
      <x:c r="D59" s="88" t="str">
        <x:v>燃烧热</x:v>
      </x:c>
      <x:c r="E59" s="88" t="str">
        <x:v>model_parameter</x:v>
      </x:c>
      <x:c r="F59" s="88" t="str">
        <x:v>number</x:v>
      </x:c>
      <x:c r="G59" s="88" t="str">
        <x:v>J/kg</x:v>
      </x:c>
      <x:c r="H59" s="88" t="str">
        <x:v>standard_formula_test_parameters.aqt3046_physical_chain.heat_of_combustion_j_kg</x:v>
      </x:c>
      <x:c r="I59" s="89"/>
      <x:c r="J59" s="89"/>
      <x:c r="K59" s="90"/>
      <x:c r="L59" s="89"/>
      <x:c r="M59" s="89"/>
      <x:c r="N59" s="89" t="str">
        <x:v>未审核</x:v>
      </x:c>
      <x:c r="O59" s="89"/>
      <x:c r="P59" s="88" t="str">
        <x:v>AQ/T 3046-2013 8-13、附录E、G、H、I</x:v>
      </x:c>
      <x:c r="Q59" s="88" t="str">
        <x:f>IF(I59="","缺少真实值",IF(L59="","缺少来源",IF(M59="","缺少填报人",IF(N59&lt;&gt;"已审核","待审核","完整"))))</x:f>
        <x:v>缺少真实值</x:v>
      </x:c>
    </x:row>
    <x:row r="60" ht="48" customHeight="1">
      <x:c r="A60" s="88" t="n">
        <x:v>56</x:v>
      </x:c>
      <x:c r="B60" s="88" t="str">
        <x:v>物性与人员后果模型参数</x:v>
      </x:c>
      <x:c r="C60" s="88" t="str">
        <x:v>consequence_parameters.radiative_fraction</x:v>
      </x:c>
      <x:c r="D60" s="88" t="str">
        <x:v>热辐射分数</x:v>
      </x:c>
      <x:c r="E60" s="88" t="str">
        <x:v>model_parameter</x:v>
      </x:c>
      <x:c r="F60" s="88" t="str">
        <x:v>number</x:v>
      </x:c>
      <x:c r="G60" s="88" t="str">
        <x:v>—</x:v>
      </x:c>
      <x:c r="H60" s="88" t="str">
        <x:v>standard_formula_test_parameters.aqt3046_physical_chain.radiative_fraction</x:v>
      </x:c>
      <x:c r="I60" s="89"/>
      <x:c r="J60" s="89"/>
      <x:c r="K60" s="90"/>
      <x:c r="L60" s="89"/>
      <x:c r="M60" s="89"/>
      <x:c r="N60" s="89" t="str">
        <x:v>未审核</x:v>
      </x:c>
      <x:c r="O60" s="89"/>
      <x:c r="P60" s="88" t="str">
        <x:v>AQ/T 3046-2013 8-13、附录E、G、H、I</x:v>
      </x:c>
      <x:c r="Q60" s="88" t="str">
        <x:f>IF(I60="","缺少真实值",IF(L60="","缺少来源",IF(M60="","缺少填报人",IF(N60&lt;&gt;"已审核","待审核","完整"))))</x:f>
        <x:v>缺少真实值</x:v>
      </x:c>
    </x:row>
    <x:row r="61" ht="48" customHeight="1">
      <x:c r="A61" s="88" t="n">
        <x:v>57</x:v>
      </x:c>
      <x:c r="B61" s="88" t="str">
        <x:v>物性与人员后果模型参数</x:v>
      </x:c>
      <x:c r="C61" s="88" t="str">
        <x:v>consequence_parameters.lfl_volume_fraction</x:v>
      </x:c>
      <x:c r="D61" s="88" t="str">
        <x:v>可燃下限体积分数</x:v>
      </x:c>
      <x:c r="E61" s="88" t="str">
        <x:v>model_parameter</x:v>
      </x:c>
      <x:c r="F61" s="88" t="str">
        <x:v>number</x:v>
      </x:c>
      <x:c r="G61" s="88" t="str">
        <x:v>—</x:v>
      </x:c>
      <x:c r="H61" s="88" t="str">
        <x:v>standard_formula_test_parameters.aqt3046_physical_chain.lfl_volume_fraction</x:v>
      </x:c>
      <x:c r="I61" s="89"/>
      <x:c r="J61" s="89"/>
      <x:c r="K61" s="90"/>
      <x:c r="L61" s="89"/>
      <x:c r="M61" s="89"/>
      <x:c r="N61" s="89" t="str">
        <x:v>未审核</x:v>
      </x:c>
      <x:c r="O61" s="89"/>
      <x:c r="P61" s="88" t="str">
        <x:v>AQ/T 3046-2013 8-13、附录E、G、H、I</x:v>
      </x:c>
      <x:c r="Q61" s="88" t="str">
        <x:f>IF(I61="","缺少真实值",IF(L61="","缺少来源",IF(M61="","缺少填报人",IF(N61&lt;&gt;"已审核","待审核","完整"))))</x:f>
        <x:v>缺少真实值</x:v>
      </x:c>
    </x:row>
    <x:row r="62" ht="48" customHeight="1">
      <x:c r="A62" s="88" t="n">
        <x:v>58</x:v>
      </x:c>
      <x:c r="B62" s="88" t="str">
        <x:v>物性与人员后果模型参数</x:v>
      </x:c>
      <x:c r="C62" s="88" t="str">
        <x:v>consequence_parameters.effective_release_height_m</x:v>
      </x:c>
      <x:c r="D62" s="88" t="str">
        <x:v>有效释放高度</x:v>
      </x:c>
      <x:c r="E62" s="88" t="str">
        <x:v>model_parameter</x:v>
      </x:c>
      <x:c r="F62" s="88" t="str">
        <x:v>number</x:v>
      </x:c>
      <x:c r="G62" s="88" t="str">
        <x:v>m</x:v>
      </x:c>
      <x:c r="H62" s="88" t="str">
        <x:v>standard_formula_test_parameters.aqt3046_physical_chain.effective_release_height_m</x:v>
      </x:c>
      <x:c r="I62" s="89"/>
      <x:c r="J62" s="89"/>
      <x:c r="K62" s="90"/>
      <x:c r="L62" s="89"/>
      <x:c r="M62" s="89"/>
      <x:c r="N62" s="89" t="str">
        <x:v>未审核</x:v>
      </x:c>
      <x:c r="O62" s="89"/>
      <x:c r="P62" s="88" t="str">
        <x:v>AQ/T 3046-2013 8-13、附录E、G、H、I</x:v>
      </x:c>
      <x:c r="Q62" s="88" t="str">
        <x:f>IF(I62="","缺少真实值",IF(L62="","缺少来源",IF(M62="","缺少填报人",IF(N62&lt;&gt;"已审核","待审核","完整"))))</x:f>
        <x:v>缺少真实值</x:v>
      </x:c>
    </x:row>
    <x:row r="63" ht="48" customHeight="1">
      <x:c r="A63" s="88" t="n">
        <x:v>59</x:v>
      </x:c>
      <x:c r="B63" s="88" t="str">
        <x:v>物性与人员后果模型参数</x:v>
      </x:c>
      <x:c r="C63" s="88" t="str">
        <x:v>consequence_parameters.thermal_exposure_time_s</x:v>
      </x:c>
      <x:c r="D63" s="88" t="str">
        <x:v>热辐射暴露时间</x:v>
      </x:c>
      <x:c r="E63" s="88" t="str">
        <x:v>model_parameter</x:v>
      </x:c>
      <x:c r="F63" s="88" t="str">
        <x:v>number</x:v>
      </x:c>
      <x:c r="G63" s="88" t="str">
        <x:v>s</x:v>
      </x:c>
      <x:c r="H63" s="88" t="str">
        <x:v>standard_formula_test_parameters.aqt3046_physical_chain.thermal_exposure_time_s</x:v>
      </x:c>
      <x:c r="I63" s="89"/>
      <x:c r="J63" s="89"/>
      <x:c r="K63" s="90"/>
      <x:c r="L63" s="89"/>
      <x:c r="M63" s="89"/>
      <x:c r="N63" s="89" t="str">
        <x:v>未审核</x:v>
      </x:c>
      <x:c r="O63" s="89"/>
      <x:c r="P63" s="88" t="str">
        <x:v>AQ/T 3046-2013 8-13、附录E、G、H、I</x:v>
      </x:c>
      <x:c r="Q63" s="88" t="str">
        <x:f>IF(I63="","缺少真实值",IF(L63="","缺少来源",IF(M63="","缺少填报人",IF(N63&lt;&gt;"已审核","待审核","完整"))))</x:f>
        <x:v>缺少真实值</x:v>
      </x:c>
    </x:row>
    <x:row r="64" ht="48" customHeight="1">
      <x:c r="A64" s="88" t="n">
        <x:v>60</x:v>
      </x:c>
      <x:c r="B64" s="88" t="str">
        <x:v>物性与人员后果模型参数</x:v>
      </x:c>
      <x:c r="C64" s="88" t="str">
        <x:v>consequence_parameters.pipe_absolute_roughness_mm</x:v>
      </x:c>
      <x:c r="D64" s="88" t="str">
        <x:v>管内绝对粗糙度</x:v>
      </x:c>
      <x:c r="E64" s="88" t="str">
        <x:v>model_parameter</x:v>
      </x:c>
      <x:c r="F64" s="88" t="str">
        <x:v>number</x:v>
      </x:c>
      <x:c r="G64" s="88" t="str">
        <x:v>mm</x:v>
      </x:c>
      <x:c r="H64" s="88" t="str">
        <x:v>standard_formula_test_parameters.aqt3046_physical_chain.pipe_absolute_roughness_mm</x:v>
      </x:c>
      <x:c r="I64" s="89"/>
      <x:c r="J64" s="89"/>
      <x:c r="K64" s="90"/>
      <x:c r="L64" s="89"/>
      <x:c r="M64" s="89"/>
      <x:c r="N64" s="89" t="str">
        <x:v>未审核</x:v>
      </x:c>
      <x:c r="O64" s="89"/>
      <x:c r="P64" s="88" t="str">
        <x:v>AQ/T 3046-2013 8-13、附录E、G、H、I</x:v>
      </x:c>
      <x:c r="Q64" s="88" t="str">
        <x:f>IF(I64="","缺少真实值",IF(L64="","缺少来源",IF(M64="","缺少填报人",IF(N64&lt;&gt;"已审核","待审核","完整"))))</x:f>
        <x:v>缺少真实值</x:v>
      </x:c>
    </x:row>
    <x:row r="65" ht="48" customHeight="1">
      <x:c r="A65" s="88" t="n">
        <x:v>61</x:v>
      </x:c>
      <x:c r="B65" s="88" t="str">
        <x:v>物性与人员后果模型参数</x:v>
      </x:c>
      <x:c r="C65" s="88" t="str">
        <x:v>consequence_parameters.probit_model_version</x:v>
      </x:c>
      <x:c r="D65" s="88" t="str">
        <x:v>Probit模型版本</x:v>
      </x:c>
      <x:c r="E65" s="88" t="str">
        <x:v>model_parameter</x:v>
      </x:c>
      <x:c r="F65" s="88" t="str">
        <x:v>string</x:v>
      </x:c>
      <x:c r="G65" s="88" t="str">
        <x:v>—</x:v>
      </x:c>
      <x:c r="H65" s="88" t="str">
        <x:v>engineering_indicators显式观测</x:v>
      </x:c>
      <x:c r="I65" s="89"/>
      <x:c r="J65" s="89"/>
      <x:c r="K65" s="90"/>
      <x:c r="L65" s="89"/>
      <x:c r="M65" s="89"/>
      <x:c r="N65" s="89" t="str">
        <x:v>未审核</x:v>
      </x:c>
      <x:c r="O65" s="89"/>
      <x:c r="P65" s="88" t="str">
        <x:v>AQ/T 3046-2013 8-13、附录E、G、H、I</x:v>
      </x:c>
      <x:c r="Q65" s="88" t="str">
        <x:f>IF(I65="","缺少真实值",IF(L65="","缺少来源",IF(M65="","缺少填报人",IF(N65&lt;&gt;"已审核","待审核","完整"))))</x:f>
        <x:v>缺少真实值</x:v>
      </x:c>
    </x:row>
    <x:row r="66" ht="48" customHeight="1">
      <x:c r="A66" s="88" t="n">
        <x:v>62</x:v>
      </x:c>
      <x:c r="B66" s="88" t="str">
        <x:v>物性与人员后果模型参数</x:v>
      </x:c>
      <x:c r="C66" s="88" t="str">
        <x:v>consequence_parameters.tno_curve_version</x:v>
      </x:c>
      <x:c r="D66" s="88" t="str">
        <x:v>TNO曲线数据版本</x:v>
      </x:c>
      <x:c r="E66" s="88" t="str">
        <x:v>model_parameter</x:v>
      </x:c>
      <x:c r="F66" s="88" t="str">
        <x:v>string</x:v>
      </x:c>
      <x:c r="G66" s="88" t="str">
        <x:v>—</x:v>
      </x:c>
      <x:c r="H66" s="88" t="str">
        <x:v>engineering_indicators显式观测</x:v>
      </x:c>
      <x:c r="I66" s="89"/>
      <x:c r="J66" s="89"/>
      <x:c r="K66" s="90"/>
      <x:c r="L66" s="89"/>
      <x:c r="M66" s="89"/>
      <x:c r="N66" s="89" t="str">
        <x:v>未审核</x:v>
      </x:c>
      <x:c r="O66" s="89"/>
      <x:c r="P66" s="88" t="str">
        <x:v>AQ/T 3046-2013 8-13、附录E、G、H、I</x:v>
      </x:c>
      <x:c r="Q66" s="88" t="str">
        <x:f>IF(I66="","缺少真实值",IF(L66="","缺少来源",IF(M66="","缺少填报人",IF(N66&lt;&gt;"已审核","待审核","完整"))))</x:f>
        <x:v>缺少真实值</x:v>
      </x:c>
    </x:row>
  </x:sheetData>
  <x:mergeCells>
    <x:mergeCell ref="A1:Q1"/>
    <x:mergeCell ref="A2:Q2"/>
  </x:mergeCells>
  <x:conditionalFormatting sqref="Q5:Q66">
    <x:cfRule type="containsText" dxfId="0" priority="1" operator="containsText" text="完整"/>
    <x:cfRule type="containsText" dxfId="1" priority="2" operator="containsText" text="缺少"/>
    <x:cfRule type="containsText" dxfId="2" priority="3" operator="containsText" text="待审核"/>
    <x:cfRule type="containsText" dxfId="3" priority="4" operator="containsText" text="未判定"/>
  </x:conditionalFormatting>
  <x:dataValidations count="2">
    <x:dataValidation type="list" sqref="J5:J66">
      <x:formula1>"A,B,C,D,UNKNOWN"</x:formula1>
    </x:dataValidation>
    <x:dataValidation type="list" sqref="N5:N66">
      <x:formula1>"未审核,审核中,已审核,退回修改"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86e84675ac43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30" hidden="0" customWidth="1"/>
    <x:col min="4" max="4" width="58" hidden="0" customWidth="1"/>
    <x:col min="5" max="5" width="18" hidden="0" customWidth="1"/>
    <x:col min="6" max="6" width="22" hidden="0" customWidth="1"/>
    <x:col min="7" max="7" width="28" hidden="0" customWidth="1"/>
    <x:col min="8" max="8" width="32" hidden="0" customWidth="1"/>
    <x:col min="9" max="9" width="13" hidden="0" customWidth="1"/>
    <x:col min="10" max="10" width="36" hidden="0" customWidth="1"/>
    <x:col min="11" max="11" width="15" hidden="0" customWidth="1"/>
  </x:cols>
  <x:sheetData>
    <x:row r="1" ht="30" customHeight="1">
      <x:c r="A1" s="81" t="str">
        <x:v>关键计算参数与正式启用资料</x:v>
      </x:c>
      <x:c r="B1" s="81" t="str">
        <x:v>关键计算参数与正式启用资料</x:v>
      </x:c>
      <x:c r="C1" s="81" t="str">
        <x:v>关键计算参数与正式启用资料</x:v>
      </x:c>
      <x:c r="D1" s="81" t="str">
        <x:v>关键计算参数与正式启用资料</x:v>
      </x:c>
      <x:c r="E1" s="81" t="str">
        <x:v>关键计算参数与正式启用资料</x:v>
      </x:c>
      <x:c r="F1" s="81" t="str">
        <x:v>关键计算参数与正式启用资料</x:v>
      </x:c>
      <x:c r="G1" s="81" t="str">
        <x:v>关键计算参数与正式启用资料</x:v>
      </x:c>
      <x:c r="H1" s="81" t="str">
        <x:v>关键计算参数与正式启用资料</x:v>
      </x:c>
      <x:c r="I1" s="81" t="str">
        <x:v>关键计算参数与正式启用资料</x:v>
      </x:c>
      <x:c r="J1" s="81" t="str">
        <x:v>关键计算参数与正式启用资料</x:v>
      </x:c>
      <x:c r="K1" s="81" t="str">
        <x:v>关键计算参数与正式启用资料</x:v>
      </x:c>
    </x:row>
    <x:row r="2" ht="32" customHeight="1">
      <x:c r="A2" s="82" t="str">
        <x:v>这些内容不只是现场属性，而是直接决定泄漏频率、点火分支、爆炸后果和风险判定的模型输入。必须由相应专业人员审查批准。</x:v>
      </x:c>
      <x:c r="B2" s="82" t="str">
        <x:v>这些内容不只是现场属性，而是直接决定泄漏频率、点火分支、爆炸后果和风险判定的模型输入。必须由相应专业人员审查批准。</x:v>
      </x:c>
      <x:c r="C2" s="82" t="str">
        <x:v>这些内容不只是现场属性，而是直接决定泄漏频率、点火分支、爆炸后果和风险判定的模型输入。必须由相应专业人员审查批准。</x:v>
      </x:c>
      <x:c r="D2" s="82" t="str">
        <x:v>这些内容不只是现场属性，而是直接决定泄漏频率、点火分支、爆炸后果和风险判定的模型输入。必须由相应专业人员审查批准。</x:v>
      </x:c>
      <x:c r="E2" s="82" t="str">
        <x:v>这些内容不只是现场属性，而是直接决定泄漏频率、点火分支、爆炸后果和风险判定的模型输入。必须由相应专业人员审查批准。</x:v>
      </x:c>
      <x:c r="F2" s="82" t="str">
        <x:v>这些内容不只是现场属性，而是直接决定泄漏频率、点火分支、爆炸后果和风险判定的模型输入。必须由相应专业人员审查批准。</x:v>
      </x:c>
      <x:c r="G2" s="82" t="str">
        <x:v>这些内容不只是现场属性，而是直接决定泄漏频率、点火分支、爆炸后果和风险判定的模型输入。必须由相应专业人员审查批准。</x:v>
      </x:c>
      <x:c r="H2" s="82" t="str">
        <x:v>这些内容不只是现场属性，而是直接决定泄漏频率、点火分支、爆炸后果和风险判定的模型输入。必须由相应专业人员审查批准。</x:v>
      </x:c>
      <x:c r="I2" s="82" t="str">
        <x:v>这些内容不只是现场属性，而是直接决定泄漏频率、点火分支、爆炸后果和风险判定的模型输入。必须由相应专业人员审查批准。</x:v>
      </x:c>
      <x:c r="J2" s="82" t="str">
        <x:v>这些内容不只是现场属性，而是直接决定泄漏频率、点火分支、爆炸后果和风险判定的模型输入。必须由相应专业人员审查批准。</x:v>
      </x:c>
      <x:c r="K2" s="82" t="str">
        <x:v>这些内容不只是现场属性，而是直接决定泄漏频率、点火分支、爆炸后果和风险判定的模型输入。必须由相应专业人员审查批准。</x:v>
      </x:c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</x:row>
    <x:row r="4" ht="32" customHeight="1">
      <x:c r="A4" s="84" t="str">
        <x:v>序号</x:v>
      </x:c>
      <x:c r="B4" s="84" t="str">
        <x:v>类别</x:v>
      </x:c>
      <x:c r="C4" s="84" t="str">
        <x:v>数据项目</x:v>
      </x:c>
      <x:c r="D4" s="84" t="str">
        <x:v>当前JSON路径</x:v>
      </x:c>
      <x:c r="E4" s="84" t="str">
        <x:v>填报层级</x:v>
      </x:c>
      <x:c r="F4" s="84" t="str">
        <x:v>单位/形式</x:v>
      </x:c>
      <x:c r="G4" s="84" t="str">
        <x:v>真实值或参数文件</x:v>
      </x:c>
      <x:c r="H4" s="84" t="str">
        <x:v>数据来源/校准依据</x:v>
      </x:c>
      <x:c r="I4" s="84" t="str">
        <x:v>批准状态</x:v>
      </x:c>
      <x:c r="J4" s="84" t="str">
        <x:v>说明</x:v>
      </x:c>
      <x:c r="K4" s="84" t="str">
        <x:v>完整性检查</x:v>
      </x:c>
    </x:row>
    <x:row r="5" ht="46" customHeight="1">
      <x:c r="A5" s="85" t="n">
        <x:v>1</x:v>
      </x:c>
      <x:c r="B5" s="85" t="str">
        <x:v>项目控制</x:v>
      </x:c>
      <x:c r="C5" s="85" t="str">
        <x:v>项目编号、数据分类与版本</x:v>
      </x:c>
      <x:c r="D5" s="85" t="str">
        <x:v>metadata</x:v>
      </x:c>
      <x:c r="E5" s="85" t="str">
        <x:v>全项目</x:v>
      </x:c>
      <x:c r="F5" s="85" t="str">
        <x:v>文本</x:v>
      </x:c>
      <x:c r="G5" s="86" t="str">
        <x:v>PROJECT_DATA及版本号</x:v>
      </x:c>
      <x:c r="H5" s="86" t="str">
        <x:v>项目立项/数据管理文件</x:v>
      </x:c>
      <x:c r="I5" s="86" t="str">
        <x:v>未审核</x:v>
      </x:c>
      <x:c r="J5" s="85" t="str">
        <x:v>不得保留SYNTHETIC_TEST_ONLY</x:v>
      </x:c>
      <x:c r="K5" s="85" t="str">
        <x:f>IF(G5="","缺少真实值",IF(H5="","缺少来源",IF(I5&lt;&gt;"已审核","待审核","完整")))</x:f>
        <x:v>待审核</x:v>
      </x:c>
    </x:row>
    <x:row r="6" ht="46" customHeight="1">
      <x:c r="A6" s="88" t="n">
        <x:v>2</x:v>
      </x:c>
      <x:c r="B6" s="88" t="str">
        <x:v>评价设置</x:v>
      </x:c>
      <x:c r="C6" s="88" t="str">
        <x:v>坐标系、受体高度、泄漏点间距和收敛阈值</x:v>
      </x:c>
      <x:c r="D6" s="88" t="str">
        <x:v>assessment</x:v>
      </x:c>
      <x:c r="E6" s="88" t="str">
        <x:v>全项目</x:v>
      </x:c>
      <x:c r="F6" s="88" t="str">
        <x:v>m、比例</x:v>
      </x:c>
      <x:c r="G6" s="89"/>
      <x:c r="H6" s="89" t="str">
        <x:v>评价方案</x:v>
      </x:c>
      <x:c r="I6" s="89" t="str">
        <x:v>未审核</x:v>
      </x:c>
      <x:c r="J6" s="88" t="str">
        <x:v>正式计算必须完成泄漏点和IR网格收敛</x:v>
      </x:c>
      <x:c r="K6" s="88" t="str">
        <x:f>IF(G6="","缺少真实值",IF(H6="","缺少来源",IF(I6&lt;&gt;"已审核","待审核","完整")))</x:f>
        <x:v>缺少真实值</x:v>
      </x:c>
    </x:row>
    <x:row r="7" ht="46" customHeight="1">
      <x:c r="A7" s="88" t="n">
        <x:v>3</x:v>
      </x:c>
      <x:c r="B7" s="88" t="str">
        <x:v>气体物性</x:v>
      </x:c>
      <x:c r="C7" s="88" t="str">
        <x:v>完整天然气组分</x:v>
      </x:c>
      <x:c r="D7" s="88" t="str">
        <x:v>pipeline.gas_composition_mole_fraction</x:v>
      </x:c>
      <x:c r="E7" s="88" t="str">
        <x:v>管线或工况</x:v>
      </x:c>
      <x:c r="F7" s="88" t="str">
        <x:v>摩尔分数</x:v>
      </x:c>
      <x:c r="G7" s="89"/>
      <x:c r="H7" s="89" t="str">
        <x:v>气质化验报告</x:v>
      </x:c>
      <x:c r="I7" s="89" t="str">
        <x:v>未审核</x:v>
      </x:c>
      <x:c r="J7" s="88" t="str">
        <x:v>全部组分之和必须为1</x:v>
      </x:c>
      <x:c r="K7" s="88" t="str">
        <x:f>IF(G7="","缺少真实值",IF(H7="","缺少来源",IF(I7&lt;&gt;"已审核","待审核","完整")))</x:f>
        <x:v>缺少真实值</x:v>
      </x:c>
    </x:row>
    <x:row r="8" ht="46" customHeight="1">
      <x:c r="A8" s="88" t="n">
        <x:v>4</x:v>
      </x:c>
      <x:c r="B8" s="88" t="str">
        <x:v>失效频率</x:v>
      </x:c>
      <x:c r="C8" s="88" t="str">
        <x:v>七类失效机理基准频率</x:v>
      </x:c>
      <x:c r="D8" s="88" t="str">
        <x:v>frequency_library.base_frequency_by_mechanism</x:v>
      </x:c>
      <x:c r="E8" s="88" t="str">
        <x:v>频率库</x:v>
      </x:c>
      <x:c r="F8" s="88" t="str">
        <x:v>次/(km·年)</x:v>
      </x:c>
      <x:c r="G8" s="89"/>
      <x:c r="H8" s="89" t="str">
        <x:v>行业/企业失效数据库</x:v>
      </x:c>
      <x:c r="I8" s="89" t="str">
        <x:v>未审核</x:v>
      </x:c>
      <x:c r="J8" s="88" t="str">
        <x:v>外腐蚀、内腐蚀、SCC、制造施工、第三方、地灾、误操作</x:v>
      </x:c>
      <x:c r="K8" s="88" t="str">
        <x:f>IF(G8="","缺少真实值",IF(H8="","缺少来源",IF(I8&lt;&gt;"已审核","待审核","完整")))</x:f>
        <x:v>缺少真实值</x:v>
      </x:c>
    </x:row>
    <x:row r="9" ht="46" customHeight="1">
      <x:c r="A9" s="88" t="n">
        <x:v>5</x:v>
      </x:c>
      <x:c r="B9" s="88" t="str">
        <x:v>泄漏场景</x:v>
      </x:c>
      <x:c r="C9" s="88" t="str">
        <x:v>各机理四类泄漏孔径比例</x:v>
      </x:c>
      <x:c r="D9" s="88" t="str">
        <x:v>frequency_library.loc_fraction_by_mechanism</x:v>
      </x:c>
      <x:c r="E9" s="88" t="str">
        <x:v>频率库</x:v>
      </x:c>
      <x:c r="F9" s="88" t="str">
        <x:v>0～1</x:v>
      </x:c>
      <x:c r="G9" s="89"/>
      <x:c r="H9" s="89" t="str">
        <x:v>统计数据库/批准参数库</x:v>
      </x:c>
      <x:c r="I9" s="89" t="str">
        <x:v>未审核</x:v>
      </x:c>
      <x:c r="J9" s="88" t="str">
        <x:v>5/25/100 mm和完全破裂；每种机理合计为1</x:v>
      </x:c>
      <x:c r="K9" s="88" t="str">
        <x:f>IF(G9="","缺少真实值",IF(H9="","缺少来源",IF(I9&lt;&gt;"已审核","待审核","完整")))</x:f>
        <x:v>缺少真实值</x:v>
      </x:c>
    </x:row>
    <x:row r="10" ht="46" customHeight="1">
      <x:c r="A10" s="88" t="n">
        <x:v>6</x:v>
      </x:c>
      <x:c r="B10" s="88" t="str">
        <x:v>频率修正</x:v>
      </x:c>
      <x:c r="C10" s="88" t="str">
        <x:v>逐管段、逐机理K_j</x:v>
      </x:c>
      <x:c r="D10" s="88" t="str">
        <x:v>segment_correction_factor</x:v>
      </x:c>
      <x:c r="E10" s="88" t="str">
        <x:v>每管段×每机理</x:v>
      </x:c>
      <x:c r="F10" s="88" t="str">
        <x:v>无量纲</x:v>
      </x:c>
      <x:c r="G10" s="89"/>
      <x:c r="H10" s="89" t="str">
        <x:v>项目批准因子</x:v>
      </x:c>
      <x:c r="I10" s="89" t="str">
        <x:v>未审核</x:v>
      </x:c>
      <x:c r="J10" s="88" t="str">
        <x:v>采用provided_factors时填写</x:v>
      </x:c>
      <x:c r="K10" s="88" t="str">
        <x:f>IF(G10="","缺少真实值",IF(H10="","缺少来源",IF(I10&lt;&gt;"已审核","待审核","完整")))</x:f>
        <x:v>缺少真实值</x:v>
      </x:c>
    </x:row>
    <x:row r="11" ht="46" customHeight="1">
      <x:c r="A11" s="88" t="n">
        <x:v>7</x:v>
      </x:c>
      <x:c r="B11" s="88" t="str">
        <x:v>频率修正</x:v>
      </x:c>
      <x:c r="C11" s="88" t="str">
        <x:v>校准模型变量、系数、参考值、尺度和边界</x:v>
      </x:c>
      <x:c r="D11" s="88" t="str">
        <x:v>frequency_correction_model.mechanisms</x:v>
      </x:c>
      <x:c r="E11" s="88" t="str">
        <x:v>每种机理</x:v>
      </x:c>
      <x:c r="F11" s="88" t="str">
        <x:v>模型参数</x:v>
      </x:c>
      <x:c r="G11" s="89"/>
      <x:c r="H11" s="89" t="str">
        <x:v>校准数据及验证报告</x:v>
      </x:c>
      <x:c r="I11" s="89" t="str">
        <x:v>未审核</x:v>
      </x:c>
      <x:c r="J11" s="88" t="str">
        <x:v>采用log_linear_calibrated时填写，不得编造标准权重</x:v>
      </x:c>
      <x:c r="K11" s="88" t="str">
        <x:f>IF(G11="","缺少真实值",IF(H11="","缺少来源",IF(I11&lt;&gt;"已审核","待审核","完整")))</x:f>
        <x:v>缺少真实值</x:v>
      </x:c>
    </x:row>
    <x:row r="12" ht="46" customHeight="1">
      <x:c r="A12" s="88" t="n">
        <x:v>8</x:v>
      </x:c>
      <x:c r="B12" s="88" t="str">
        <x:v>点火</x:v>
      </x:c>
      <x:c r="C12" s="88" t="str">
        <x:v>立即点火概率</x:v>
      </x:c>
      <x:c r="D12" s="88" t="str">
        <x:v>ignition_model.immediate_ignition_probability</x:v>
      </x:c>
      <x:c r="E12" s="88" t="str">
        <x:v>物质活性×泄漏率</x:v>
      </x:c>
      <x:c r="F12" s="88" t="str">
        <x:v>0～1</x:v>
      </x:c>
      <x:c r="G12" s="89"/>
      <x:c r="H12" s="89" t="str">
        <x:v>AQ/T 3046适用表值或批准模型</x:v>
      </x:c>
      <x:c r="I12" s="89" t="str">
        <x:v>未审核</x:v>
      </x:c>
      <x:c r="J12" s="88" t="str">
        <x:v>需确认物质活性分类</x:v>
      </x:c>
      <x:c r="K12" s="88" t="str">
        <x:f>IF(G12="","缺少真实值",IF(H12="","缺少来源",IF(I12&lt;&gt;"已审核","待审核","完整")))</x:f>
        <x:v>缺少真实值</x:v>
      </x:c>
    </x:row>
    <x:row r="13" ht="46" customHeight="1">
      <x:c r="A13" s="88" t="n">
        <x:v>9</x:v>
      </x:c>
      <x:c r="B13" s="88" t="str">
        <x:v>点火</x:v>
      </x:c>
      <x:c r="C13" s="88" t="str">
        <x:v>延迟点火源</x:v>
      </x:c>
      <x:c r="D13" s="88" t="str">
        <x:v>standard_formula_test_parameters.aqt3046_physical_chain.ignition_model.delayed_ignition_sources_by_activity</x:v>
      </x:c>
      <x:c r="E13" s="88" t="str">
        <x:v>不同区域</x:v>
      </x:c>
      <x:c r="F13" s="88" t="str">
        <x:v>存在概率、效率、暴露时间</x:v>
      </x:c>
      <x:c r="G13" s="89"/>
      <x:c r="H13" s="89" t="str">
        <x:v>现场点火源调查</x:v>
      </x:c>
      <x:c r="I13" s="89" t="str">
        <x:v>未审核</x:v>
      </x:c>
      <x:c r="J13" s="88" t="str">
        <x:v>真实链不应使用delayed_ignition_test_probability</x:v>
      </x:c>
      <x:c r="K13" s="88" t="str">
        <x:f>IF(G13="","缺少真实值",IF(H13="","缺少来源",IF(I13&lt;&gt;"已审核","待审核","完整")))</x:f>
        <x:v>缺少真实值</x:v>
      </x:c>
    </x:row>
    <x:row r="14" ht="46" customHeight="1">
      <x:c r="A14" s="88" t="n">
        <x:v>10</x:v>
      </x:c>
      <x:c r="B14" s="88" t="str">
        <x:v>爆炸</x:v>
      </x:c>
      <x:c r="C14" s="88" t="str">
        <x:v>延迟点火后发生VCE概率</x:v>
      </x:c>
      <x:c r="D14" s="88" t="str">
        <x:v>standard_formula_test_parameters.aqt3046_physical_chain.ignition_model.vce_given_delayed_probability</x:v>
      </x:c>
      <x:c r="E14" s="88" t="str">
        <x:v>不同区域</x:v>
      </x:c>
      <x:c r="F14" s="88" t="str">
        <x:v>0～1</x:v>
      </x:c>
      <x:c r="G14" s="89"/>
      <x:c r="H14" s="89" t="str">
        <x:v>拥塞/约束评估</x:v>
      </x:c>
      <x:c r="I14" s="89" t="str">
        <x:v>未审核</x:v>
      </x:c>
      <x:c r="J14" s="88" t="str">
        <x:v>按低、中、高活动区设置</x:v>
      </x:c>
      <x:c r="K14" s="88" t="str">
        <x:f>IF(G14="","缺少真实值",IF(H14="","缺少来源",IF(I14&lt;&gt;"已审核","待审核","完整")))</x:f>
        <x:v>缺少真实值</x:v>
      </x:c>
    </x:row>
    <x:row r="15" ht="46" customHeight="1">
      <x:c r="A15" s="88" t="n">
        <x:v>11</x:v>
      </x:c>
      <x:c r="B15" s="88" t="str">
        <x:v>爆炸</x:v>
      </x:c>
      <x:c r="C15" s="88" t="str">
        <x:v>爆炸源体积</x:v>
      </x:c>
      <x:c r="D15" s="88" t="str">
        <x:v>standard_formula_test_parameters.aqt3046_physical_chain.segments.*.explosion_source_volume_m3</x:v>
      </x:c>
      <x:c r="E15" s="88" t="str">
        <x:v>每管段/区域</x:v>
      </x:c>
      <x:c r="F15" s="88" t="str">
        <x:v>m³</x:v>
      </x:c>
      <x:c r="G15" s="89"/>
      <x:c r="H15" s="89" t="str">
        <x:v>现场布置和气云分析</x:v>
      </x:c>
      <x:c r="I15" s="89" t="str">
        <x:v>未审核</x:v>
      </x:c>
      <x:c r="J15" s="88" t="str">
        <x:v>必须大于0</x:v>
      </x:c>
      <x:c r="K15" s="88" t="str">
        <x:f>IF(G15="","缺少真实值",IF(H15="","缺少来源",IF(I15&lt;&gt;"已审核","待审核","完整")))</x:f>
        <x:v>缺少真实值</x:v>
      </x:c>
    </x:row>
    <x:row r="16" ht="46" customHeight="1">
      <x:c r="A16" s="88" t="n">
        <x:v>12</x:v>
      </x:c>
      <x:c r="B16" s="88" t="str">
        <x:v>爆炸</x:v>
      </x:c>
      <x:c r="C16" s="88" t="str">
        <x:v>TNO多能法源强等级</x:v>
      </x:c>
      <x:c r="D16" s="88" t="str">
        <x:v>standard_formula_test_parameters.aqt3046_physical_chain.segments.*.tno_source_strength</x:v>
      </x:c>
      <x:c r="E16" s="88" t="str">
        <x:v>每管段/区域</x:v>
      </x:c>
      <x:c r="F16" s="88" t="str">
        <x:v>整数等级</x:v>
      </x:c>
      <x:c r="G16" s="89"/>
      <x:c r="H16" s="89" t="str">
        <x:v>拥塞、约束和点火强度审查</x:v>
      </x:c>
      <x:c r="I16" s="89" t="str">
        <x:v>未审核</x:v>
      </x:c>
      <x:c r="J16" s="88" t="str">
        <x:v>必须使用已有数据化曲线支持的等级</x:v>
      </x:c>
      <x:c r="K16" s="88" t="str">
        <x:f>IF(G16="","缺少真实值",IF(H16="","缺少来源",IF(I16&lt;&gt;"已审核","待审核","完整")))</x:f>
        <x:v>缺少真实值</x:v>
      </x:c>
    </x:row>
    <x:row r="17" ht="46" customHeight="1">
      <x:c r="A17" s="88" t="n">
        <x:v>13</x:v>
      </x:c>
      <x:c r="B17" s="88" t="str">
        <x:v>扩散</x:v>
      </x:c>
      <x:c r="C17" s="88" t="str">
        <x:v>扩散地形类别与参数适用性</x:v>
      </x:c>
      <x:c r="D17" s="88" t="str">
        <x:v>standard_formula_test_parameters.aqt3046_physical_chain.segments.*.terrain</x:v>
      </x:c>
      <x:c r="E17" s="88" t="str">
        <x:v>每管段</x:v>
      </x:c>
      <x:c r="F17" s="88" t="str">
        <x:v>rural/urban</x:v>
      </x:c>
      <x:c r="G17" s="89"/>
      <x:c r="H17" s="89" t="str">
        <x:v>地形与地表粗糙度资料</x:v>
      </x:c>
      <x:c r="I17" s="89" t="str">
        <x:v>未审核</x:v>
      </x:c>
      <x:c r="J17" s="88" t="str">
        <x:v>高压近场扩散仍需独立验证</x:v>
      </x:c>
      <x:c r="K17" s="88" t="str">
        <x:f>IF(G17="","缺少真实值",IF(H17="","缺少来源",IF(I17&lt;&gt;"已审核","待审核","完整")))</x:f>
        <x:v>缺少真实值</x:v>
      </x:c>
    </x:row>
    <x:row r="18" ht="46" customHeight="1">
      <x:c r="A18" s="88" t="n">
        <x:v>14</x:v>
      </x:c>
      <x:c r="B18" s="88" t="str">
        <x:v>源项</x:v>
      </x:c>
      <x:c r="C18" s="88" t="str">
        <x:v>压力基准、最小破裂流动长度和喷射方向模式</x:v>
      </x:c>
      <x:c r="D18" s="88" t="str">
        <x:v>standard_formula_test_parameters.aqt3046_physical_chain</x:v>
      </x:c>
      <x:c r="E18" s="88" t="str">
        <x:v>全项目</x:v>
      </x:c>
      <x:c r="F18" s="88" t="str">
        <x:v>模型设置</x:v>
      </x:c>
      <x:c r="G18" s="89"/>
      <x:c r="H18" s="89" t="str">
        <x:v>计算方案及批准文件</x:v>
      </x:c>
      <x:c r="I18" s="89" t="str">
        <x:v>未审核</x:v>
      </x:c>
      <x:c r="J18" s="88" t="str">
        <x:v>当前仅支持径向最不利喷射火包络</x:v>
      </x:c>
      <x:c r="K18" s="88" t="str">
        <x:f>IF(G18="","缺少真实值",IF(H18="","缺少来源",IF(I18&lt;&gt;"已审核","待审核","完整")))</x:f>
        <x:v>缺少真实值</x:v>
      </x:c>
    </x:row>
    <x:row r="19" ht="46" customHeight="1">
      <x:c r="A19" s="88" t="n">
        <x:v>15</x:v>
      </x:c>
      <x:c r="B19" s="88" t="str">
        <x:v>风险准则</x:v>
      </x:c>
      <x:c r="C19" s="88" t="str">
        <x:v>个人风险准则</x:v>
      </x:c>
      <x:c r="D19" s="88" t="str">
        <x:v>assessment.criteria_set_by_domain.human</x:v>
      </x:c>
      <x:c r="E19" s="88" t="str">
        <x:v>全项目</x:v>
      </x:c>
      <x:c r="F19" s="88" t="str">
        <x:v>1/年</x:v>
      </x:c>
      <x:c r="G19" s="89"/>
      <x:c r="H19" s="89" t="str">
        <x:v>项目/属地/主管部门批准文件</x:v>
      </x:c>
      <x:c r="I19" s="89" t="str">
        <x:v>未审核</x:v>
      </x:c>
      <x:c r="J19" s="88" t="str">
        <x:v>默认GB/T 34346图C.2仅为参考准则</x:v>
      </x:c>
      <x:c r="K19" s="88" t="str">
        <x:f>IF(G19="","缺少真实值",IF(H19="","缺少来源",IF(I19&lt;&gt;"已审核","待审核","完整")))</x:f>
        <x:v>缺少真实值</x:v>
      </x:c>
    </x:row>
    <x:row r="20" ht="46" customHeight="1">
      <x:c r="A20" s="88" t="n">
        <x:v>16</x:v>
      </x:c>
      <x:c r="B20" s="88" t="str">
        <x:v>风险准则</x:v>
      </x:c>
      <x:c r="C20" s="88" t="str">
        <x:v>社会风险F-N准则</x:v>
      </x:c>
      <x:c r="D20" s="88" t="str">
        <x:v>项目扩展配置</x:v>
      </x:c>
      <x:c r="E20" s="88" t="str">
        <x:v>全项目</x:v>
      </x:c>
      <x:c r="F20" s="88" t="str">
        <x:v>F-N曲线</x:v>
      </x:c>
      <x:c r="G20" s="89"/>
      <x:c r="H20" s="89" t="str">
        <x:v>主管部门或项目批准文件</x:v>
      </x:c>
      <x:c r="I20" s="89" t="str">
        <x:v>未审核</x:v>
      </x:c>
      <x:c r="J20" s="88" t="str">
        <x:v>未批准时只能计算F-N，不能自动判级</x:v>
      </x:c>
      <x:c r="K20" s="88" t="str">
        <x:f>IF(G20="","缺少真实值",IF(H20="","缺少来源",IF(I20&lt;&gt;"已审核","待审核","完整")))</x:f>
        <x:v>缺少真实值</x:v>
      </x:c>
    </x:row>
    <x:row r="21" ht="46" customHeight="1">
      <x:c r="A21" s="88" t="n">
        <x:v>17</x:v>
      </x:c>
      <x:c r="B21" s="88" t="str">
        <x:v>模型批准</x:v>
      </x:c>
      <x:c r="C21" s="88" t="str">
        <x:v>频率、源项、扩散、火灾、爆炸、人员伤害模型批准记录</x:v>
      </x:c>
      <x:c r="D21" s="88" t="str">
        <x:v>engineering_indicators.observations_global.governance.approval_ref</x:v>
      </x:c>
      <x:c r="E21" s="88" t="str">
        <x:v>全项目</x:v>
      </x:c>
      <x:c r="F21" s="88" t="str">
        <x:v>文件引用</x:v>
      </x:c>
      <x:c r="G21" s="89"/>
      <x:c r="H21" s="89" t="str">
        <x:v>模型审查/验证报告</x:v>
      </x:c>
      <x:c r="I21" s="89" t="str">
        <x:v>未审核</x:v>
      </x:c>
      <x:c r="J21" s="88" t="str">
        <x:v>正式报告门禁资料</x:v>
      </x:c>
      <x:c r="K21" s="88" t="str">
        <x:f>IF(G21="","缺少真实值",IF(H21="","缺少来源",IF(I21&lt;&gt;"已审核","待审核","完整")))</x:f>
        <x:v>缺少真实值</x:v>
      </x:c>
    </x:row>
  </x:sheetData>
  <x:mergeCells>
    <x:mergeCell ref="A1:K1"/>
    <x:mergeCell ref="A2:K2"/>
  </x:mergeCells>
  <x:conditionalFormatting sqref="K5:K21">
    <x:cfRule type="containsText" dxfId="4" priority="1" operator="containsText" text="完整"/>
    <x:cfRule type="containsText" dxfId="5" priority="2" operator="containsText" text="缺少"/>
    <x:cfRule type="containsText" dxfId="6" priority="3" operator="containsText" text="待审核"/>
    <x:cfRule type="containsText" dxfId="7" priority="4" operator="containsText" text="未判定"/>
  </x:conditionalFormatting>
  <x:dataValidations count="1">
    <x:dataValidation type="list" sqref="I5:I21">
      <x:formula1>"未审核,审核中,已审核,退回修改"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6e3c9b1bac4e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38" hidden="0" customWidth="1"/>
    <x:col min="4" max="4" width="24" hidden="0" customWidth="1"/>
    <x:col min="5" max="5" width="18" hidden="0" customWidth="1"/>
    <x:col min="6" max="6" width="12" hidden="0" customWidth="1"/>
    <x:col min="7" max="7" width="11" hidden="0" customWidth="1"/>
    <x:col min="8" max="8" width="28" hidden="0" customWidth="1"/>
    <x:col min="9" max="9" width="32" hidden="0" customWidth="1"/>
    <x:col min="10" max="10" width="48" hidden="0" customWidth="1"/>
    <x:col min="11" max="11" width="13" hidden="0" customWidth="1"/>
    <x:col min="12" max="12" width="28" hidden="0" customWidth="1"/>
    <x:col min="13" max="13" width="24" hidden="0" customWidth="1"/>
    <x:col min="14" max="14" width="11" hidden="0" customWidth="1"/>
    <x:col min="15" max="15" width="13" hidden="0" customWidth="1"/>
    <x:col min="16" max="16" width="28" hidden="0" customWidth="1"/>
    <x:col min="17" max="17" width="12" hidden="0" customWidth="1"/>
    <x:col min="18" max="18" width="13" hidden="0" customWidth="1"/>
    <x:col min="19" max="19" width="18" hidden="0" customWidth="1"/>
    <x:col min="20" max="20" width="46" hidden="0" customWidth="1"/>
  </x:cols>
  <x:sheetData>
    <x:row r="1" ht="30" customHeight="1">
      <x:c r="A1" s="81" t="str">
        <x:v>184项条件触发指标</x:v>
      </x:c>
      <x:c r="B1" s="81" t="str">
        <x:v>184项条件触发指标</x:v>
      </x:c>
      <x:c r="C1" s="81" t="str">
        <x:v>184项条件触发指标</x:v>
      </x:c>
      <x:c r="D1" s="81" t="str">
        <x:v>184项条件触发指标</x:v>
      </x:c>
      <x:c r="E1" s="81" t="str">
        <x:v>184项条件触发指标</x:v>
      </x:c>
      <x:c r="F1" s="81" t="str">
        <x:v>184项条件触发指标</x:v>
      </x:c>
      <x:c r="G1" s="81" t="str">
        <x:v>184项条件触发指标</x:v>
      </x:c>
      <x:c r="H1" s="81" t="str">
        <x:v>184项条件触发指标</x:v>
      </x:c>
      <x:c r="I1" s="81" t="str">
        <x:v>184项条件触发指标</x:v>
      </x:c>
      <x:c r="J1" s="81" t="str">
        <x:v>184项条件触发指标</x:v>
      </x:c>
      <x:c r="K1" s="81" t="str">
        <x:v>184项条件触发指标</x:v>
      </x:c>
      <x:c r="L1" s="81" t="str">
        <x:v>184项条件触发指标</x:v>
      </x:c>
      <x:c r="M1" s="81" t="str">
        <x:v>184项条件触发指标</x:v>
      </x:c>
      <x:c r="N1" s="81" t="str">
        <x:v>184项条件触发指标</x:v>
      </x:c>
      <x:c r="O1" s="81" t="str">
        <x:v>184项条件触发指标</x:v>
      </x:c>
      <x:c r="P1" s="81" t="str">
        <x:v>184项条件触发指标</x:v>
      </x:c>
      <x:c r="Q1" s="81" t="str">
        <x:v>184项条件触发指标</x:v>
      </x:c>
      <x:c r="R1" s="81" t="str">
        <x:v>184项条件触发指标</x:v>
      </x:c>
      <x:c r="S1" s="81" t="str">
        <x:v>184项条件触发指标</x:v>
      </x:c>
      <x:c r="T1" s="81" t="str">
        <x:v>184项条件触发指标</x:v>
      </x:c>
    </x:row>
    <x:row r="2" ht="32" customHeight="1">
      <x:c r="A2" s="82" t="str">
        <x:v>先进行适用性判定。选择“不适用”时必须说明依据；选择“适用”时必须填写真实值、来源、责任人并完成审核。</x:v>
      </x:c>
      <x:c r="B2" s="82" t="str">
        <x:v>先进行适用性判定。选择“不适用”时必须说明依据；选择“适用”时必须填写真实值、来源、责任人并完成审核。</x:v>
      </x:c>
      <x:c r="C2" s="82" t="str">
        <x:v>先进行适用性判定。选择“不适用”时必须说明依据；选择“适用”时必须填写真实值、来源、责任人并完成审核。</x:v>
      </x:c>
      <x:c r="D2" s="82" t="str">
        <x:v>先进行适用性判定。选择“不适用”时必须说明依据；选择“适用”时必须填写真实值、来源、责任人并完成审核。</x:v>
      </x:c>
      <x:c r="E2" s="82" t="str">
        <x:v>先进行适用性判定。选择“不适用”时必须说明依据；选择“适用”时必须填写真实值、来源、责任人并完成审核。</x:v>
      </x:c>
      <x:c r="F2" s="82" t="str">
        <x:v>先进行适用性判定。选择“不适用”时必须说明依据；选择“适用”时必须填写真实值、来源、责任人并完成审核。</x:v>
      </x:c>
      <x:c r="G2" s="82" t="str">
        <x:v>先进行适用性判定。选择“不适用”时必须说明依据；选择“适用”时必须填写真实值、来源、责任人并完成审核。</x:v>
      </x:c>
      <x:c r="H2" s="82" t="str">
        <x:v>先进行适用性判定。选择“不适用”时必须说明依据；选择“适用”时必须填写真实值、来源、责任人并完成审核。</x:v>
      </x:c>
      <x:c r="I2" s="82" t="str">
        <x:v>先进行适用性判定。选择“不适用”时必须说明依据；选择“适用”时必须填写真实值、来源、责任人并完成审核。</x:v>
      </x:c>
      <x:c r="J2" s="82" t="str">
        <x:v>先进行适用性判定。选择“不适用”时必须说明依据；选择“适用”时必须填写真实值、来源、责任人并完成审核。</x:v>
      </x:c>
      <x:c r="K2" s="82" t="str">
        <x:v>先进行适用性判定。选择“不适用”时必须说明依据；选择“适用”时必须填写真实值、来源、责任人并完成审核。</x:v>
      </x:c>
      <x:c r="L2" s="82" t="str">
        <x:v>先进行适用性判定。选择“不适用”时必须说明依据；选择“适用”时必须填写真实值、来源、责任人并完成审核。</x:v>
      </x:c>
      <x:c r="M2" s="82" t="str">
        <x:v>先进行适用性判定。选择“不适用”时必须说明依据；选择“适用”时必须填写真实值、来源、责任人并完成审核。</x:v>
      </x:c>
      <x:c r="N2" s="82" t="str">
        <x:v>先进行适用性判定。选择“不适用”时必须说明依据；选择“适用”时必须填写真实值、来源、责任人并完成审核。</x:v>
      </x:c>
      <x:c r="O2" s="82" t="str">
        <x:v>先进行适用性判定。选择“不适用”时必须说明依据；选择“适用”时必须填写真实值、来源、责任人并完成审核。</x:v>
      </x:c>
      <x:c r="P2" s="82" t="str">
        <x:v>先进行适用性判定。选择“不适用”时必须说明依据；选择“适用”时必须填写真实值、来源、责任人并完成审核。</x:v>
      </x:c>
      <x:c r="Q2" s="82" t="str">
        <x:v>先进行适用性判定。选择“不适用”时必须说明依据；选择“适用”时必须填写真实值、来源、责任人并完成审核。</x:v>
      </x:c>
      <x:c r="R2" s="82" t="str">
        <x:v>先进行适用性判定。选择“不适用”时必须说明依据；选择“适用”时必须填写真实值、来源、责任人并完成审核。</x:v>
      </x:c>
      <x:c r="S2" s="82" t="str">
        <x:v>先进行适用性判定。选择“不适用”时必须说明依据；选择“适用”时必须填写真实值、来源、责任人并完成审核。</x:v>
      </x:c>
      <x:c r="T2" s="82" t="str">
        <x:v>先进行适用性判定。选择“不适用”时必须说明依据；选择“适用”时必须填写真实值、来源、责任人并完成审核。</x:v>
      </x:c>
    </x:row>
    <x:row r="3">
      <x:c r="A3" s="83"/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83"/>
      <x:c r="M3" s="83"/>
      <x:c r="N3" s="83"/>
      <x:c r="O3" s="83"/>
      <x:c r="P3" s="83"/>
      <x:c r="Q3" s="83"/>
      <x:c r="R3" s="83"/>
      <x:c r="S3" s="83"/>
      <x:c r="T3" s="83"/>
    </x:row>
    <x:row r="4" ht="32" customHeight="1">
      <x:c r="A4" s="84" t="str">
        <x:v>序号</x:v>
      </x:c>
      <x:c r="B4" s="84" t="str">
        <x:v>指标组</x:v>
      </x:c>
      <x:c r="C4" s="84" t="str">
        <x:v>指标ID</x:v>
      </x:c>
      <x:c r="D4" s="84" t="str">
        <x:v>中文名称</x:v>
      </x:c>
      <x:c r="E4" s="84" t="str">
        <x:v>填报层级</x:v>
      </x:c>
      <x:c r="F4" s="84" t="str">
        <x:v>数据类型</x:v>
      </x:c>
      <x:c r="G4" s="84" t="str">
        <x:v>单位</x:v>
      </x:c>
      <x:c r="H4" s="84" t="str">
        <x:v>用途角色</x:v>
      </x:c>
      <x:c r="I4" s="84" t="str">
        <x:v>相关失效机理</x:v>
      </x:c>
      <x:c r="J4" s="84" t="str">
        <x:v>当前JSON路径</x:v>
      </x:c>
      <x:c r="K4" s="84" t="str">
        <x:v>适用性判定</x:v>
      </x:c>
      <x:c r="L4" s="84" t="str">
        <x:v>判定依据</x:v>
      </x:c>
      <x:c r="M4" s="84" t="str">
        <x:v>真实值/文件引用</x:v>
      </x:c>
      <x:c r="N4" s="84" t="str">
        <x:v>质量等级</x:v>
      </x:c>
      <x:c r="O4" s="84" t="str">
        <x:v>数据日期</x:v>
      </x:c>
      <x:c r="P4" s="84" t="str">
        <x:v>数据来源/文件编号</x:v>
      </x:c>
      <x:c r="Q4" s="84" t="str">
        <x:v>填报人</x:v>
      </x:c>
      <x:c r="R4" s="84" t="str">
        <x:v>审核状态</x:v>
      </x:c>
      <x:c r="S4" s="84" t="str">
        <x:v>完整性检查</x:v>
      </x:c>
      <x:c r="T4" s="84" t="str">
        <x:v>标准依据</x:v>
      </x:c>
    </x:row>
    <x:row r="5" ht="60" customHeight="1">
      <x:c r="A5" s="85" t="n">
        <x:v>1</x:v>
      </x:c>
      <x:c r="B5" s="85" t="str">
        <x:v>项目、文件与数据治理</x:v>
      </x:c>
      <x:c r="C5" s="85" t="str">
        <x:v>governance.route_map_ref</x:v>
      </x:c>
      <x:c r="D5" s="85" t="str">
        <x:v>遥感或航拍线路图引用</x:v>
      </x:c>
      <x:c r="E5" s="85" t="str">
        <x:v>assessment</x:v>
      </x:c>
      <x:c r="F5" s="85" t="str">
        <x:v>string</x:v>
      </x:c>
      <x:c r="G5" s="85" t="str">
        <x:v>—</x:v>
      </x:c>
      <x:c r="H5" s="85" t="str">
        <x:v>EVIDENCE；FORMAL_RELEASE_GATE</x:v>
      </x:c>
      <x:c r="I5" s="85" t="str">
        <x:v>—</x:v>
      </x:c>
      <x:c r="J5" s="85" t="str">
        <x:v>engineering_indicators显式观测</x:v>
      </x:c>
      <x:c r="K5" s="86" t="str">
        <x:v>未判定</x:v>
      </x:c>
      <x:c r="L5" s="86"/>
      <x:c r="M5" s="86"/>
      <x:c r="N5" s="86"/>
      <x:c r="O5" s="87"/>
      <x:c r="P5" s="86"/>
      <x:c r="Q5" s="86"/>
      <x:c r="R5" s="86" t="str">
        <x:v>未审核</x:v>
      </x:c>
      <x:c r="S5" s="85" t="str">
        <x:f>IF(K5="未判定","未判定",IF(K5="不适用",IF(L5="","缺少不适用依据","已关闭"),IF(M5="","适用但缺值",IF(P5="","缺少来源",IF(Q5="","缺少填报人",IF(R5&lt;&gt;"已审核","待审核","完整"))))))</x:f>
        <x:v>未判定</x:v>
      </x:c>
      <x:c r="T5" s="85" t="str">
        <x:v>SY/T 6891.2-2020 表1 基础数据/管道风险/应急管理；GB/T 27921-2023 6.1-6.6</x:v>
      </x:c>
    </x:row>
    <x:row r="6" ht="60" customHeight="1">
      <x:c r="A6" s="88" t="n">
        <x:v>2</x:v>
      </x:c>
      <x:c r="B6" s="88" t="str">
        <x:v>项目、文件与数据治理</x:v>
      </x:c>
      <x:c r="C6" s="88" t="str">
        <x:v>governance.supervision_record_ref</x:v>
      </x:c>
      <x:c r="D6" s="88" t="str">
        <x:v>监理记录引用</x:v>
      </x:c>
      <x:c r="E6" s="88" t="str">
        <x:v>assessment</x:v>
      </x:c>
      <x:c r="F6" s="88" t="str">
        <x:v>string</x:v>
      </x:c>
      <x:c r="G6" s="88" t="str">
        <x:v>—</x:v>
      </x:c>
      <x:c r="H6" s="88" t="str">
        <x:v>EVIDENCE；FORMAL_RELEASE_GATE</x:v>
      </x:c>
      <x:c r="I6" s="88" t="str">
        <x:v>—</x:v>
      </x:c>
      <x:c r="J6" s="88" t="str">
        <x:v>engineering_indicators显式观测</x:v>
      </x:c>
      <x:c r="K6" s="89" t="str">
        <x:v>未判定</x:v>
      </x:c>
      <x:c r="L6" s="89"/>
      <x:c r="M6" s="89"/>
      <x:c r="N6" s="89"/>
      <x:c r="O6" s="90"/>
      <x:c r="P6" s="89"/>
      <x:c r="Q6" s="89"/>
      <x:c r="R6" s="89" t="str">
        <x:v>未审核</x:v>
      </x:c>
      <x:c r="S6" s="88" t="str">
        <x:f>IF(K6="未判定","未判定",IF(K6="不适用",IF(L6="","缺少不适用依据","已关闭"),IF(M6="","适用但缺值",IF(P6="","缺少来源",IF(Q6="","缺少填报人",IF(R6&lt;&gt;"已审核","待审核","完整"))))))</x:f>
        <x:v>未判定</x:v>
      </x:c>
      <x:c r="T6" s="88" t="str">
        <x:v>SY/T 6891.2-2020 表1 基础数据/管道风险/应急管理；GB/T 27921-2023 6.1-6.6</x:v>
      </x:c>
    </x:row>
    <x:row r="7" ht="60" customHeight="1">
      <x:c r="A7" s="88" t="n">
        <x:v>3</x:v>
      </x:c>
      <x:c r="B7" s="88" t="str">
        <x:v>项目、文件与数据治理</x:v>
      </x:c>
      <x:c r="C7" s="88" t="str">
        <x:v>governance.previous_risk_report_ref</x:v>
      </x:c>
      <x:c r="D7" s="88" t="str">
        <x:v>既往风险评价报告引用</x:v>
      </x:c>
      <x:c r="E7" s="88" t="str">
        <x:v>assessment</x:v>
      </x:c>
      <x:c r="F7" s="88" t="str">
        <x:v>string</x:v>
      </x:c>
      <x:c r="G7" s="88" t="str">
        <x:v>—</x:v>
      </x:c>
      <x:c r="H7" s="88" t="str">
        <x:v>EVIDENCE；FORMAL_RELEASE_GATE</x:v>
      </x:c>
      <x:c r="I7" s="88" t="str">
        <x:v>—</x:v>
      </x:c>
      <x:c r="J7" s="88" t="str">
        <x:v>engineering_indicators显式观测</x:v>
      </x:c>
      <x:c r="K7" s="89" t="str">
        <x:v>未判定</x:v>
      </x:c>
      <x:c r="L7" s="89"/>
      <x:c r="M7" s="89"/>
      <x:c r="N7" s="89"/>
      <x:c r="O7" s="90"/>
      <x:c r="P7" s="89"/>
      <x:c r="Q7" s="89"/>
      <x:c r="R7" s="89" t="str">
        <x:v>未审核</x:v>
      </x:c>
      <x:c r="S7" s="88" t="str">
        <x:f>IF(K7="未判定","未判定",IF(K7="不适用",IF(L7="","缺少不适用依据","已关闭"),IF(M7="","适用但缺值",IF(P7="","缺少来源",IF(Q7="","缺少填报人",IF(R7&lt;&gt;"已审核","待审核","完整"))))))</x:f>
        <x:v>未判定</x:v>
      </x:c>
      <x:c r="T7" s="88" t="str">
        <x:v>SY/T 6891.2-2020 表1 基础数据/管道风险/应急管理；GB/T 27921-2023 6.1-6.6</x:v>
      </x:c>
    </x:row>
    <x:row r="8" ht="60" customHeight="1">
      <x:c r="A8" s="88" t="n">
        <x:v>4</x:v>
      </x:c>
      <x:c r="B8" s="88" t="str">
        <x:v>项目、文件与数据治理</x:v>
      </x:c>
      <x:c r="C8" s="88" t="str">
        <x:v>governance.geohazard_report_ref</x:v>
      </x:c>
      <x:c r="D8" s="88" t="str">
        <x:v>地质灾害评估报告引用</x:v>
      </x:c>
      <x:c r="E8" s="88" t="str">
        <x:v>assessment</x:v>
      </x:c>
      <x:c r="F8" s="88" t="str">
        <x:v>string</x:v>
      </x:c>
      <x:c r="G8" s="88" t="str">
        <x:v>—</x:v>
      </x:c>
      <x:c r="H8" s="88" t="str">
        <x:v>EVIDENCE；FORMAL_RELEASE_GATE</x:v>
      </x:c>
      <x:c r="I8" s="88" t="str">
        <x:v>—</x:v>
      </x:c>
      <x:c r="J8" s="88" t="str">
        <x:v>engineering_indicators显式观测</x:v>
      </x:c>
      <x:c r="K8" s="89" t="str">
        <x:v>未判定</x:v>
      </x:c>
      <x:c r="L8" s="89"/>
      <x:c r="M8" s="89"/>
      <x:c r="N8" s="89"/>
      <x:c r="O8" s="90"/>
      <x:c r="P8" s="89"/>
      <x:c r="Q8" s="89"/>
      <x:c r="R8" s="89" t="str">
        <x:v>未审核</x:v>
      </x:c>
      <x:c r="S8" s="88" t="str">
        <x:f>IF(K8="未判定","未判定",IF(K8="不适用",IF(L8="","缺少不适用依据","已关闭"),IF(M8="","适用但缺值",IF(P8="","缺少来源",IF(Q8="","缺少填报人",IF(R8&lt;&gt;"已审核","待审核","完整"))))))</x:f>
        <x:v>未判定</x:v>
      </x:c>
      <x:c r="T8" s="88" t="str">
        <x:v>SY/T 6891.2-2020 表1 基础数据/管道风险/应急管理；GB/T 27921-2023 6.1-6.6</x:v>
      </x:c>
    </x:row>
    <x:row r="9" ht="60" customHeight="1">
      <x:c r="A9" s="88" t="n">
        <x:v>5</x:v>
      </x:c>
      <x:c r="B9" s="88" t="str">
        <x:v>项目、文件与数据治理</x:v>
      </x:c>
      <x:c r="C9" s="88" t="str">
        <x:v>governance.environment_report_ref</x:v>
      </x:c>
      <x:c r="D9" s="88" t="str">
        <x:v>环境影响评价报告引用</x:v>
      </x:c>
      <x:c r="E9" s="88" t="str">
        <x:v>assessment</x:v>
      </x:c>
      <x:c r="F9" s="88" t="str">
        <x:v>string</x:v>
      </x:c>
      <x:c r="G9" s="88" t="str">
        <x:v>—</x:v>
      </x:c>
      <x:c r="H9" s="88" t="str">
        <x:v>EVIDENCE；FORMAL_RELEASE_GATE</x:v>
      </x:c>
      <x:c r="I9" s="88" t="str">
        <x:v>—</x:v>
      </x:c>
      <x:c r="J9" s="88" t="str">
        <x:v>engineering_indicators显式观测</x:v>
      </x:c>
      <x:c r="K9" s="89" t="str">
        <x:v>未判定</x:v>
      </x:c>
      <x:c r="L9" s="89"/>
      <x:c r="M9" s="89"/>
      <x:c r="N9" s="89"/>
      <x:c r="O9" s="90"/>
      <x:c r="P9" s="89"/>
      <x:c r="Q9" s="89"/>
      <x:c r="R9" s="89" t="str">
        <x:v>未审核</x:v>
      </x:c>
      <x:c r="S9" s="88" t="str">
        <x:f>IF(K9="未判定","未判定",IF(K9="不适用",IF(L9="","缺少不适用依据","已关闭"),IF(M9="","适用但缺值",IF(P9="","缺少来源",IF(Q9="","缺少填报人",IF(R9&lt;&gt;"已审核","待审核","完整"))))))</x:f>
        <x:v>未判定</x:v>
      </x:c>
      <x:c r="T9" s="88" t="str">
        <x:v>SY/T 6891.2-2020 表1 基础数据/管道风险/应急管理；GB/T 27921-2023 6.1-6.6</x:v>
      </x:c>
    </x:row>
    <x:row r="10" ht="60" customHeight="1">
      <x:c r="A10" s="88" t="n">
        <x:v>6</x:v>
      </x:c>
      <x:c r="B10" s="88" t="str">
        <x:v>管道几何、材料与设计</x:v>
      </x:c>
      <x:c r="C10" s="88" t="str">
        <x:v>geometry_material.elevation_profile</x:v>
      </x:c>
      <x:c r="D10" s="88" t="str">
        <x:v>高程剖面</x:v>
      </x:c>
      <x:c r="E10" s="88" t="str">
        <x:v>segment</x:v>
      </x:c>
      <x:c r="F10" s="88" t="str">
        <x:v>array</x:v>
      </x:c>
      <x:c r="G10" s="88" t="str">
        <x:v>m</x:v>
      </x:c>
      <x:c r="H10" s="88" t="str">
        <x:v>DIRECT_MODEL_INPUT；SEGMENTATION；STRUCTURAL_RELIABILITY_INPUT</x:v>
      </x:c>
      <x:c r="I10" s="88" t="str">
        <x:v>external_corrosion；internal_corrosion；stress_corrosion_cracking；manufacturing_construction；third_party_damage；natural_geohazard</x:v>
      </x:c>
      <x:c r="J10" s="88" t="str">
        <x:v>engineering_indicators显式观测</x:v>
      </x:c>
      <x:c r="K10" s="89" t="str">
        <x:v>未判定</x:v>
      </x:c>
      <x:c r="L10" s="89"/>
      <x:c r="M10" s="89"/>
      <x:c r="N10" s="89"/>
      <x:c r="O10" s="90"/>
      <x:c r="P10" s="89"/>
      <x:c r="Q10" s="89"/>
      <x:c r="R10" s="89" t="str">
        <x:v>未审核</x:v>
      </x:c>
      <x:c r="S10" s="88" t="str">
        <x:f>IF(K10="未判定","未判定",IF(K10="不适用",IF(L10="","缺少不适用依据","已关闭"),IF(M10="","适用但缺值",IF(P10="","缺少来源",IF(Q10="","缺少填报人",IF(R10&lt;&gt;"已审核","待审核","完整"))))))</x:f>
        <x:v>未判定</x:v>
      </x:c>
      <x:c r="T10" s="88" t="str">
        <x:v>SY/T 6891.2-2020 表1 基础数据、7、附录B；AQ/T 3046-2013 8-9</x:v>
      </x:c>
    </x:row>
    <x:row r="11" ht="60" customHeight="1">
      <x:c r="A11" s="88" t="n">
        <x:v>7</x:v>
      </x:c>
      <x:c r="B11" s="88" t="str">
        <x:v>管道几何、材料与设计</x:v>
      </x:c>
      <x:c r="C11" s="88" t="str">
        <x:v>geometry_material.measured_wall_thickness_mm</x:v>
      </x:c>
      <x:c r="D11" s="88" t="str">
        <x:v>实测最小壁厚</x:v>
      </x:c>
      <x:c r="E11" s="88" t="str">
        <x:v>segment</x:v>
      </x:c>
      <x:c r="F11" s="88" t="str">
        <x:v>number</x:v>
      </x:c>
      <x:c r="G11" s="88" t="str">
        <x:v>mm</x:v>
      </x:c>
      <x:c r="H11" s="88" t="str">
        <x:v>DIRECT_MODEL_INPUT；SEGMENTATION；STRUCTURAL_RELIABILITY_INPUT</x:v>
      </x:c>
      <x:c r="I11" s="88" t="str">
        <x:v>external_corrosion；internal_corrosion；stress_corrosion_cracking；manufacturing_construction；third_party_damage；natural_geohazard</x:v>
      </x:c>
      <x:c r="J11" s="88" t="str">
        <x:v>engineering_indicators显式观测</x:v>
      </x:c>
      <x:c r="K11" s="89" t="str">
        <x:v>未判定</x:v>
      </x:c>
      <x:c r="L11" s="89"/>
      <x:c r="M11" s="89"/>
      <x:c r="N11" s="89"/>
      <x:c r="O11" s="90"/>
      <x:c r="P11" s="89"/>
      <x:c r="Q11" s="89"/>
      <x:c r="R11" s="89" t="str">
        <x:v>未审核</x:v>
      </x:c>
      <x:c r="S11" s="88" t="str">
        <x:f>IF(K11="未判定","未判定",IF(K11="不适用",IF(L11="","缺少不适用依据","已关闭"),IF(M11="","适用但缺值",IF(P11="","缺少来源",IF(Q11="","缺少填报人",IF(R11&lt;&gt;"已审核","待审核","完整"))))))</x:f>
        <x:v>未判定</x:v>
      </x:c>
      <x:c r="T11" s="88" t="str">
        <x:v>SY/T 6891.2-2020 表1 基础数据、7、附录B；AQ/T 3046-2013 8-9</x:v>
      </x:c>
    </x:row>
    <x:row r="12" ht="60" customHeight="1">
      <x:c r="A12" s="88" t="n">
        <x:v>8</x:v>
      </x:c>
      <x:c r="B12" s="88" t="str">
        <x:v>管道几何、材料与设计</x:v>
      </x:c>
      <x:c r="C12" s="88" t="str">
        <x:v>geometry_material.smys_mpa</x:v>
      </x:c>
      <x:c r="D12" s="88" t="str">
        <x:v>规定最小屈服强度</x:v>
      </x:c>
      <x:c r="E12" s="88" t="str">
        <x:v>segment</x:v>
      </x:c>
      <x:c r="F12" s="88" t="str">
        <x:v>number</x:v>
      </x:c>
      <x:c r="G12" s="88" t="str">
        <x:v>MPa</x:v>
      </x:c>
      <x:c r="H12" s="88" t="str">
        <x:v>DIRECT_MODEL_INPUT；SEGMENTATION；STRUCTURAL_RELIABILITY_INPUT</x:v>
      </x:c>
      <x:c r="I12" s="88" t="str">
        <x:v>external_corrosion；internal_corrosion；stress_corrosion_cracking；manufacturing_construction；third_party_damage；natural_geohazard</x:v>
      </x:c>
      <x:c r="J12" s="88" t="str">
        <x:v>engineering_indicators显式观测</x:v>
      </x:c>
      <x:c r="K12" s="89" t="str">
        <x:v>未判定</x:v>
      </x:c>
      <x:c r="L12" s="89"/>
      <x:c r="M12" s="89"/>
      <x:c r="N12" s="89"/>
      <x:c r="O12" s="90"/>
      <x:c r="P12" s="89"/>
      <x:c r="Q12" s="89"/>
      <x:c r="R12" s="89" t="str">
        <x:v>未审核</x:v>
      </x:c>
      <x:c r="S12" s="88" t="str">
        <x:f>IF(K12="未判定","未判定",IF(K12="不适用",IF(L12="","缺少不适用依据","已关闭"),IF(M12="","适用但缺值",IF(P12="","缺少来源",IF(Q12="","缺少填报人",IF(R12&lt;&gt;"已审核","待审核","完整"))))))</x:f>
        <x:v>未判定</x:v>
      </x:c>
      <x:c r="T12" s="88" t="str">
        <x:v>SY/T 6891.2-2020 表1 基础数据、7、附录B；AQ/T 3046-2013 8-9</x:v>
      </x:c>
    </x:row>
    <x:row r="13" ht="60" customHeight="1">
      <x:c r="A13" s="88" t="n">
        <x:v>9</x:v>
      </x:c>
      <x:c r="B13" s="88" t="str">
        <x:v>管道几何、材料与设计</x:v>
      </x:c>
      <x:c r="C13" s="88" t="str">
        <x:v>geometry_material.smts_mpa</x:v>
      </x:c>
      <x:c r="D13" s="88" t="str">
        <x:v>规定最小抗拉强度</x:v>
      </x:c>
      <x:c r="E13" s="88" t="str">
        <x:v>segment</x:v>
      </x:c>
      <x:c r="F13" s="88" t="str">
        <x:v>number</x:v>
      </x:c>
      <x:c r="G13" s="88" t="str">
        <x:v>MPa</x:v>
      </x:c>
      <x:c r="H13" s="88" t="str">
        <x:v>DIRECT_MODEL_INPUT；SEGMENTATION；STRUCTURAL_RELIABILITY_INPUT</x:v>
      </x:c>
      <x:c r="I13" s="88" t="str">
        <x:v>external_corrosion；internal_corrosion；stress_corrosion_cracking；manufacturing_construction；third_party_damage；natural_geohazard</x:v>
      </x:c>
      <x:c r="J13" s="88" t="str">
        <x:v>engineering_indicators显式观测</x:v>
      </x:c>
      <x:c r="K13" s="89" t="str">
        <x:v>未判定</x:v>
      </x:c>
      <x:c r="L13" s="89"/>
      <x:c r="M13" s="89"/>
      <x:c r="N13" s="89"/>
      <x:c r="O13" s="90"/>
      <x:c r="P13" s="89"/>
      <x:c r="Q13" s="89"/>
      <x:c r="R13" s="89" t="str">
        <x:v>未审核</x:v>
      </x:c>
      <x:c r="S13" s="88" t="str">
        <x:f>IF(K13="未判定","未判定",IF(K13="不适用",IF(L13="","缺少不适用依据","已关闭"),IF(M13="","适用但缺值",IF(P13="","缺少来源",IF(Q13="","缺少填报人",IF(R13&lt;&gt;"已审核","待审核","完整"))))))</x:f>
        <x:v>未判定</x:v>
      </x:c>
      <x:c r="T13" s="88" t="str">
        <x:v>SY/T 6891.2-2020 表1 基础数据、7、附录B；AQ/T 3046-2013 8-9</x:v>
      </x:c>
    </x:row>
    <x:row r="14" ht="60" customHeight="1">
      <x:c r="A14" s="88" t="n">
        <x:v>10</x:v>
      </x:c>
      <x:c r="B14" s="88" t="str">
        <x:v>管道几何、材料与设计</x:v>
      </x:c>
      <x:c r="C14" s="88" t="str">
        <x:v>geometry_material.youngs_modulus_mpa</x:v>
      </x:c>
      <x:c r="D14" s="88" t="str">
        <x:v>弹性模量</x:v>
      </x:c>
      <x:c r="E14" s="88" t="str">
        <x:v>segment</x:v>
      </x:c>
      <x:c r="F14" s="88" t="str">
        <x:v>number</x:v>
      </x:c>
      <x:c r="G14" s="88" t="str">
        <x:v>MPa</x:v>
      </x:c>
      <x:c r="H14" s="88" t="str">
        <x:v>DIRECT_MODEL_INPUT；SEGMENTATION；STRUCTURAL_RELIABILITY_INPUT</x:v>
      </x:c>
      <x:c r="I14" s="88" t="str">
        <x:v>external_corrosion；internal_corrosion；stress_corrosion_cracking；manufacturing_construction；third_party_damage；natural_geohazard</x:v>
      </x:c>
      <x:c r="J14" s="88" t="str">
        <x:v>engineering_indicators显式观测</x:v>
      </x:c>
      <x:c r="K14" s="89" t="str">
        <x:v>未判定</x:v>
      </x:c>
      <x:c r="L14" s="89"/>
      <x:c r="M14" s="89"/>
      <x:c r="N14" s="89"/>
      <x:c r="O14" s="90"/>
      <x:c r="P14" s="89"/>
      <x:c r="Q14" s="89"/>
      <x:c r="R14" s="89" t="str">
        <x:v>未审核</x:v>
      </x:c>
      <x:c r="S14" s="88" t="str">
        <x:f>IF(K14="未判定","未判定",IF(K14="不适用",IF(L14="","缺少不适用依据","已关闭"),IF(M14="","适用但缺值",IF(P14="","缺少来源",IF(Q14="","缺少填报人",IF(R14&lt;&gt;"已审核","待审核","完整"))))))</x:f>
        <x:v>未判定</x:v>
      </x:c>
      <x:c r="T14" s="88" t="str">
        <x:v>SY/T 6891.2-2020 表1 基础数据、7、附录B；AQ/T 3046-2013 8-9</x:v>
      </x:c>
    </x:row>
    <x:row r="15" ht="60" customHeight="1">
      <x:c r="A15" s="88" t="n">
        <x:v>11</x:v>
      </x:c>
      <x:c r="B15" s="88" t="str">
        <x:v>管道几何、材料与设计</x:v>
      </x:c>
      <x:c r="C15" s="88" t="str">
        <x:v>geometry_material.poisson_ratio</x:v>
      </x:c>
      <x:c r="D15" s="88" t="str">
        <x:v>泊松比</x:v>
      </x:c>
      <x:c r="E15" s="88" t="str">
        <x:v>segment</x:v>
      </x:c>
      <x:c r="F15" s="88" t="str">
        <x:v>number</x:v>
      </x:c>
      <x:c r="G15" s="88" t="str">
        <x:v>—</x:v>
      </x:c>
      <x:c r="H15" s="88" t="str">
        <x:v>DIRECT_MODEL_INPUT；SEGMENTATION；STRUCTURAL_RELIABILITY_INPUT</x:v>
      </x:c>
      <x:c r="I15" s="88" t="str">
        <x:v>external_corrosion；internal_corrosion；stress_corrosion_cracking；manufacturing_construction；third_party_damage；natural_geohazard</x:v>
      </x:c>
      <x:c r="J15" s="88" t="str">
        <x:v>engineering_indicators显式观测</x:v>
      </x:c>
      <x:c r="K15" s="89" t="str">
        <x:v>未判定</x:v>
      </x:c>
      <x:c r="L15" s="89"/>
      <x:c r="M15" s="89"/>
      <x:c r="N15" s="89"/>
      <x:c r="O15" s="90"/>
      <x:c r="P15" s="89"/>
      <x:c r="Q15" s="89"/>
      <x:c r="R15" s="89" t="str">
        <x:v>未审核</x:v>
      </x:c>
      <x:c r="S15" s="88" t="str">
        <x:f>IF(K15="未判定","未判定",IF(K15="不适用",IF(L15="","缺少不适用依据","已关闭"),IF(M15="","适用但缺值",IF(P15="","缺少来源",IF(Q15="","缺少填报人",IF(R15&lt;&gt;"已审核","待审核","完整"))))))</x:f>
        <x:v>未判定</x:v>
      </x:c>
      <x:c r="T15" s="88" t="str">
        <x:v>SY/T 6891.2-2020 表1 基础数据、7、附录B；AQ/T 3046-2013 8-9</x:v>
      </x:c>
    </x:row>
    <x:row r="16" ht="60" customHeight="1">
      <x:c r="A16" s="88" t="n">
        <x:v>12</x:v>
      </x:c>
      <x:c r="B16" s="88" t="str">
        <x:v>管道几何、材料与设计</x:v>
      </x:c>
      <x:c r="C16" s="88" t="str">
        <x:v>geometry_material.fracture_toughness</x:v>
      </x:c>
      <x:c r="D16" s="88" t="str">
        <x:v>断裂韧度</x:v>
      </x:c>
      <x:c r="E16" s="88" t="str">
        <x:v>segment</x:v>
      </x:c>
      <x:c r="F16" s="88" t="str">
        <x:v>number</x:v>
      </x:c>
      <x:c r="G16" s="88" t="str">
        <x:v>MPa√m</x:v>
      </x:c>
      <x:c r="H16" s="88" t="str">
        <x:v>DIRECT_MODEL_INPUT；SEGMENTATION；STRUCTURAL_RELIABILITY_INPUT</x:v>
      </x:c>
      <x:c r="I16" s="88" t="str">
        <x:v>external_corrosion；internal_corrosion；stress_corrosion_cracking；manufacturing_construction；third_party_damage；natural_geohazard</x:v>
      </x:c>
      <x:c r="J16" s="88" t="str">
        <x:v>engineering_indicators显式观测</x:v>
      </x:c>
      <x:c r="K16" s="89" t="str">
        <x:v>未判定</x:v>
      </x:c>
      <x:c r="L16" s="89"/>
      <x:c r="M16" s="89"/>
      <x:c r="N16" s="89"/>
      <x:c r="O16" s="90"/>
      <x:c r="P16" s="89"/>
      <x:c r="Q16" s="89"/>
      <x:c r="R16" s="89" t="str">
        <x:v>未审核</x:v>
      </x:c>
      <x:c r="S16" s="88" t="str">
        <x:f>IF(K16="未判定","未判定",IF(K16="不适用",IF(L16="","缺少不适用依据","已关闭"),IF(M16="","适用但缺值",IF(P16="","缺少来源",IF(Q16="","缺少填报人",IF(R16&lt;&gt;"已审核","待审核","完整"))))))</x:f>
        <x:v>未判定</x:v>
      </x:c>
      <x:c r="T16" s="88" t="str">
        <x:v>SY/T 6891.2-2020 表1 基础数据、7、附录B；AQ/T 3046-2013 8-9</x:v>
      </x:c>
    </x:row>
    <x:row r="17" ht="60" customHeight="1">
      <x:c r="A17" s="88" t="n">
        <x:v>13</x:v>
      </x:c>
      <x:c r="B17" s="88" t="str">
        <x:v>管道几何、材料与设计</x:v>
      </x:c>
      <x:c r="C17" s="88" t="str">
        <x:v>geometry_material.design_factor</x:v>
      </x:c>
      <x:c r="D17" s="88" t="str">
        <x:v>设计系数</x:v>
      </x:c>
      <x:c r="E17" s="88" t="str">
        <x:v>segment</x:v>
      </x:c>
      <x:c r="F17" s="88" t="str">
        <x:v>number</x:v>
      </x:c>
      <x:c r="G17" s="88" t="str">
        <x:v>—</x:v>
      </x:c>
      <x:c r="H17" s="88" t="str">
        <x:v>DIRECT_MODEL_INPUT；SEGMENTATION；STRUCTURAL_RELIABILITY_INPUT</x:v>
      </x:c>
      <x:c r="I17" s="88" t="str">
        <x:v>external_corrosion；internal_corrosion；stress_corrosion_cracking；manufacturing_construction；third_party_damage；natural_geohazard</x:v>
      </x:c>
      <x:c r="J17" s="88" t="str">
        <x:v>engineering_indicators显式观测</x:v>
      </x:c>
      <x:c r="K17" s="89" t="str">
        <x:v>未判定</x:v>
      </x:c>
      <x:c r="L17" s="89"/>
      <x:c r="M17" s="89"/>
      <x:c r="N17" s="89"/>
      <x:c r="O17" s="90"/>
      <x:c r="P17" s="89"/>
      <x:c r="Q17" s="89"/>
      <x:c r="R17" s="89" t="str">
        <x:v>未审核</x:v>
      </x:c>
      <x:c r="S17" s="88" t="str">
        <x:f>IF(K17="未判定","未判定",IF(K17="不适用",IF(L17="","缺少不适用依据","已关闭"),IF(M17="","适用但缺值",IF(P17="","缺少来源",IF(Q17="","缺少填报人",IF(R17&lt;&gt;"已审核","待审核","完整"))))))</x:f>
        <x:v>未判定</x:v>
      </x:c>
      <x:c r="T17" s="88" t="str">
        <x:v>SY/T 6891.2-2020 表1 基础数据、7、附录B；AQ/T 3046-2013 8-9</x:v>
      </x:c>
    </x:row>
    <x:row r="18" ht="60" customHeight="1">
      <x:c r="A18" s="88" t="n">
        <x:v>14</x:v>
      </x:c>
      <x:c r="B18" s="88" t="str">
        <x:v>施工、焊接与防护设施</x:v>
      </x:c>
      <x:c r="C18" s="88" t="str">
        <x:v>construction.construction_contractor</x:v>
      </x:c>
      <x:c r="D18" s="88" t="str">
        <x:v>施工单位</x:v>
      </x:c>
      <x:c r="E18" s="88" t="str">
        <x:v>segment</x:v>
      </x:c>
      <x:c r="F18" s="88" t="str">
        <x:v>string</x:v>
      </x:c>
      <x:c r="G18" s="88" t="str">
        <x:v>—</x:v>
      </x:c>
      <x:c r="H18" s="88" t="str">
        <x:v>SEGMENTATION；CORRECTION_MODEL_CANDIDATE；EVIDENCE</x:v>
      </x:c>
      <x:c r="I18" s="88" t="str">
        <x:v>manufacturing_construction；third_party_damage；external_corrosion；natural_geohazard</x:v>
      </x:c>
      <x:c r="J18" s="88" t="str">
        <x:v>engineering_indicators显式观测</x:v>
      </x:c>
      <x:c r="K18" s="89" t="str">
        <x:v>未判定</x:v>
      </x:c>
      <x:c r="L18" s="89"/>
      <x:c r="M18" s="89"/>
      <x:c r="N18" s="89"/>
      <x:c r="O18" s="90"/>
      <x:c r="P18" s="89"/>
      <x:c r="Q18" s="89"/>
      <x:c r="R18" s="89" t="str">
        <x:v>未审核</x:v>
      </x:c>
      <x:c r="S18" s="88" t="str">
        <x:f>IF(K18="未判定","未判定",IF(K18="不适用",IF(L18="","缺少不适用依据","已关闭"),IF(M18="","适用但缺值",IF(P18="","缺少来源",IF(Q18="","缺少填报人",IF(R18&lt;&gt;"已审核","待审核","完整"))))))</x:f>
        <x:v>未判定</x:v>
      </x:c>
      <x:c r="T18" s="88" t="str">
        <x:v>SY/T 6891.2-2020 表1 基础数据/运行维护、7；SY/T 6891.2-2020 表4</x:v>
      </x:c>
    </x:row>
    <x:row r="19" ht="60" customHeight="1">
      <x:c r="A19" s="88" t="n">
        <x:v>15</x:v>
      </x:c>
      <x:c r="B19" s="88" t="str">
        <x:v>施工、焊接与防护设施</x:v>
      </x:c>
      <x:c r="C19" s="88" t="str">
        <x:v>construction.supervision_contractor</x:v>
      </x:c>
      <x:c r="D19" s="88" t="str">
        <x:v>监理单位</x:v>
      </x:c>
      <x:c r="E19" s="88" t="str">
        <x:v>segment</x:v>
      </x:c>
      <x:c r="F19" s="88" t="str">
        <x:v>string</x:v>
      </x:c>
      <x:c r="G19" s="88" t="str">
        <x:v>—</x:v>
      </x:c>
      <x:c r="H19" s="88" t="str">
        <x:v>SEGMENTATION；CORRECTION_MODEL_CANDIDATE；EVIDENCE</x:v>
      </x:c>
      <x:c r="I19" s="88" t="str">
        <x:v>manufacturing_construction；third_party_damage；external_corrosion；natural_geohazard</x:v>
      </x:c>
      <x:c r="J19" s="88" t="str">
        <x:v>engineering_indicators显式观测</x:v>
      </x:c>
      <x:c r="K19" s="89" t="str">
        <x:v>未判定</x:v>
      </x:c>
      <x:c r="L19" s="89"/>
      <x:c r="M19" s="89"/>
      <x:c r="N19" s="89"/>
      <x:c r="O19" s="90"/>
      <x:c r="P19" s="89"/>
      <x:c r="Q19" s="89"/>
      <x:c r="R19" s="89" t="str">
        <x:v>未审核</x:v>
      </x:c>
      <x:c r="S19" s="88" t="str">
        <x:f>IF(K19="未判定","未判定",IF(K19="不适用",IF(L19="","缺少不适用依据","已关闭"),IF(M19="","适用但缺值",IF(P19="","缺少来源",IF(Q19="","缺少填报人",IF(R19&lt;&gt;"已审核","待审核","完整"))))))</x:f>
        <x:v>未判定</x:v>
      </x:c>
      <x:c r="T19" s="88" t="str">
        <x:v>SY/T 6891.2-2020 表1 基础数据/运行维护、7；SY/T 6891.2-2020 表4</x:v>
      </x:c>
    </x:row>
    <x:row r="20" ht="60" customHeight="1">
      <x:c r="A20" s="88" t="n">
        <x:v>16</x:v>
      </x:c>
      <x:c r="B20" s="88" t="str">
        <x:v>施工、焊接与防护设施</x:v>
      </x:c>
      <x:c r="C20" s="88" t="str">
        <x:v>construction.welding_process</x:v>
      </x:c>
      <x:c r="D20" s="88" t="str">
        <x:v>焊接工艺</x:v>
      </x:c>
      <x:c r="E20" s="88" t="str">
        <x:v>segment</x:v>
      </x:c>
      <x:c r="F20" s="88" t="str">
        <x:v>string</x:v>
      </x:c>
      <x:c r="G20" s="88" t="str">
        <x:v>—</x:v>
      </x:c>
      <x:c r="H20" s="88" t="str">
        <x:v>SEGMENTATION；CORRECTION_MODEL_CANDIDATE；EVIDENCE</x:v>
      </x:c>
      <x:c r="I20" s="88" t="str">
        <x:v>manufacturing_construction；third_party_damage；external_corrosion；natural_geohazard</x:v>
      </x:c>
      <x:c r="J20" s="88" t="str">
        <x:v>engineering_indicators显式观测</x:v>
      </x:c>
      <x:c r="K20" s="89" t="str">
        <x:v>未判定</x:v>
      </x:c>
      <x:c r="L20" s="89"/>
      <x:c r="M20" s="89"/>
      <x:c r="N20" s="89"/>
      <x:c r="O20" s="90"/>
      <x:c r="P20" s="89"/>
      <x:c r="Q20" s="89"/>
      <x:c r="R20" s="89" t="str">
        <x:v>未审核</x:v>
      </x:c>
      <x:c r="S20" s="88" t="str">
        <x:f>IF(K20="未判定","未判定",IF(K20="不适用",IF(L20="","缺少不适用依据","已关闭"),IF(M20="","适用但缺值",IF(P20="","缺少来源",IF(Q20="","缺少填报人",IF(R20&lt;&gt;"已审核","待审核","完整"))))))</x:f>
        <x:v>未判定</x:v>
      </x:c>
      <x:c r="T20" s="88" t="str">
        <x:v>SY/T 6891.2-2020 表1 基础数据/运行维护、7；SY/T 6891.2-2020 表4</x:v>
      </x:c>
    </x:row>
    <x:row r="21" ht="60" customHeight="1">
      <x:c r="A21" s="88" t="n">
        <x:v>17</x:v>
      </x:c>
      <x:c r="B21" s="88" t="str">
        <x:v>施工、焊接与防护设施</x:v>
      </x:c>
      <x:c r="C21" s="88" t="str">
        <x:v>construction.girth_weld_count_per_km</x:v>
      </x:c>
      <x:c r="D21" s="88" t="str">
        <x:v>环焊缝密度</x:v>
      </x:c>
      <x:c r="E21" s="88" t="str">
        <x:v>segment</x:v>
      </x:c>
      <x:c r="F21" s="88" t="str">
        <x:v>number</x:v>
      </x:c>
      <x:c r="G21" s="88" t="str">
        <x:v>1/km</x:v>
      </x:c>
      <x:c r="H21" s="88" t="str">
        <x:v>SEGMENTATION；CORRECTION_MODEL_CANDIDATE；EVIDENCE</x:v>
      </x:c>
      <x:c r="I21" s="88" t="str">
        <x:v>manufacturing_construction；third_party_damage；external_corrosion；natural_geohazard</x:v>
      </x:c>
      <x:c r="J21" s="88" t="str">
        <x:v>engineering_indicators显式观测</x:v>
      </x:c>
      <x:c r="K21" s="89" t="str">
        <x:v>未判定</x:v>
      </x:c>
      <x:c r="L21" s="89"/>
      <x:c r="M21" s="89"/>
      <x:c r="N21" s="89"/>
      <x:c r="O21" s="90"/>
      <x:c r="P21" s="89"/>
      <x:c r="Q21" s="89"/>
      <x:c r="R21" s="89" t="str">
        <x:v>未审核</x:v>
      </x:c>
      <x:c r="S21" s="88" t="str">
        <x:f>IF(K21="未判定","未判定",IF(K21="不适用",IF(L21="","缺少不适用依据","已关闭"),IF(M21="","适用但缺值",IF(P21="","缺少来源",IF(Q21="","缺少填报人",IF(R21&lt;&gt;"已审核","待审核","完整"))))))</x:f>
        <x:v>未判定</x:v>
      </x:c>
      <x:c r="T21" s="88" t="str">
        <x:v>SY/T 6891.2-2020 表1 基础数据/运行维护、7；SY/T 6891.2-2020 表4</x:v>
      </x:c>
    </x:row>
    <x:row r="22" ht="60" customHeight="1">
      <x:c r="A22" s="88" t="n">
        <x:v>18</x:v>
      </x:c>
      <x:c r="B22" s="88" t="str">
        <x:v>施工、焊接与防护设施</x:v>
      </x:c>
      <x:c r="C22" s="88" t="str">
        <x:v>construction.weld_ndt_coverage_fraction</x:v>
      </x:c>
      <x:c r="D22" s="88" t="str">
        <x:v>焊缝无损检测覆盖率</x:v>
      </x:c>
      <x:c r="E22" s="88" t="str">
        <x:v>segment</x:v>
      </x:c>
      <x:c r="F22" s="88" t="str">
        <x:v>number</x:v>
      </x:c>
      <x:c r="G22" s="88" t="str">
        <x:v>—</x:v>
      </x:c>
      <x:c r="H22" s="88" t="str">
        <x:v>SEGMENTATION；CORRECTION_MODEL_CANDIDATE；EVIDENCE</x:v>
      </x:c>
      <x:c r="I22" s="88" t="str">
        <x:v>manufacturing_construction；third_party_damage；external_corrosion；natural_geohazard</x:v>
      </x:c>
      <x:c r="J22" s="88" t="str">
        <x:v>engineering_indicators显式观测</x:v>
      </x:c>
      <x:c r="K22" s="89" t="str">
        <x:v>未判定</x:v>
      </x:c>
      <x:c r="L22" s="89"/>
      <x:c r="M22" s="89"/>
      <x:c r="N22" s="89"/>
      <x:c r="O22" s="90"/>
      <x:c r="P22" s="89"/>
      <x:c r="Q22" s="89"/>
      <x:c r="R22" s="89" t="str">
        <x:v>未审核</x:v>
      </x:c>
      <x:c r="S22" s="88" t="str">
        <x:f>IF(K22="未判定","未判定",IF(K22="不适用",IF(L22="","缺少不适用依据","已关闭"),IF(M22="","适用但缺值",IF(P22="","缺少来源",IF(Q22="","缺少填报人",IF(R22&lt;&gt;"已审核","待审核","完整"))))))</x:f>
        <x:v>未判定</x:v>
      </x:c>
      <x:c r="T22" s="88" t="str">
        <x:v>SY/T 6891.2-2020 表1 基础数据/运行维护、7；SY/T 6891.2-2020 表4</x:v>
      </x:c>
    </x:row>
    <x:row r="23" ht="60" customHeight="1">
      <x:c r="A23" s="88" t="n">
        <x:v>19</x:v>
      </x:c>
      <x:c r="B23" s="88" t="str">
        <x:v>施工、焊接与防护设施</x:v>
      </x:c>
      <x:c r="C23" s="88" t="str">
        <x:v>construction.weld_reject_rate_fraction</x:v>
      </x:c>
      <x:c r="D23" s="88" t="str">
        <x:v>焊口返修率</x:v>
      </x:c>
      <x:c r="E23" s="88" t="str">
        <x:v>segment</x:v>
      </x:c>
      <x:c r="F23" s="88" t="str">
        <x:v>number</x:v>
      </x:c>
      <x:c r="G23" s="88" t="str">
        <x:v>—</x:v>
      </x:c>
      <x:c r="H23" s="88" t="str">
        <x:v>SEGMENTATION；CORRECTION_MODEL_CANDIDATE；EVIDENCE</x:v>
      </x:c>
      <x:c r="I23" s="88" t="str">
        <x:v>manufacturing_construction；third_party_damage；external_corrosion；natural_geohazard</x:v>
      </x:c>
      <x:c r="J23" s="88" t="str">
        <x:v>engineering_indicators显式观测</x:v>
      </x:c>
      <x:c r="K23" s="89" t="str">
        <x:v>未判定</x:v>
      </x:c>
      <x:c r="L23" s="89"/>
      <x:c r="M23" s="89"/>
      <x:c r="N23" s="89"/>
      <x:c r="O23" s="90"/>
      <x:c r="P23" s="89"/>
      <x:c r="Q23" s="89"/>
      <x:c r="R23" s="89" t="str">
        <x:v>未审核</x:v>
      </x:c>
      <x:c r="S23" s="88" t="str">
        <x:f>IF(K23="未判定","未判定",IF(K23="不适用",IF(L23="","缺少不适用依据","已关闭"),IF(M23="","适用但缺值",IF(P23="","缺少来源",IF(Q23="","缺少填报人",IF(R23&lt;&gt;"已审核","待审核","完整"))))))</x:f>
        <x:v>未判定</x:v>
      </x:c>
      <x:c r="T23" s="88" t="str">
        <x:v>SY/T 6891.2-2020 表1 基础数据/运行维护、7；SY/T 6891.2-2020 表4</x:v>
      </x:c>
    </x:row>
    <x:row r="24" ht="60" customHeight="1">
      <x:c r="A24" s="88" t="n">
        <x:v>20</x:v>
      </x:c>
      <x:c r="B24" s="88" t="str">
        <x:v>施工、焊接与防护设施</x:v>
      </x:c>
      <x:c r="C24" s="88" t="str">
        <x:v>construction.field_bend_count_per_km</x:v>
      </x:c>
      <x:c r="D24" s="88" t="str">
        <x:v>现场弯管密度</x:v>
      </x:c>
      <x:c r="E24" s="88" t="str">
        <x:v>segment</x:v>
      </x:c>
      <x:c r="F24" s="88" t="str">
        <x:v>number</x:v>
      </x:c>
      <x:c r="G24" s="88" t="str">
        <x:v>1/km</x:v>
      </x:c>
      <x:c r="H24" s="88" t="str">
        <x:v>SEGMENTATION；CORRECTION_MODEL_CANDIDATE；EVIDENCE</x:v>
      </x:c>
      <x:c r="I24" s="88" t="str">
        <x:v>manufacturing_construction；third_party_damage；external_corrosion；natural_geohazard</x:v>
      </x:c>
      <x:c r="J24" s="88" t="str">
        <x:v>engineering_indicators显式观测</x:v>
      </x:c>
      <x:c r="K24" s="89" t="str">
        <x:v>未判定</x:v>
      </x:c>
      <x:c r="L24" s="89"/>
      <x:c r="M24" s="89"/>
      <x:c r="N24" s="89"/>
      <x:c r="O24" s="90"/>
      <x:c r="P24" s="89"/>
      <x:c r="Q24" s="89"/>
      <x:c r="R24" s="89" t="str">
        <x:v>未审核</x:v>
      </x:c>
      <x:c r="S24" s="88" t="str">
        <x:f>IF(K24="未判定","未判定",IF(K24="不适用",IF(L24="","缺少不适用依据","已关闭"),IF(M24="","适用但缺值",IF(P24="","缺少来源",IF(Q24="","缺少填报人",IF(R24&lt;&gt;"已审核","待审核","完整"))))))</x:f>
        <x:v>未判定</x:v>
      </x:c>
      <x:c r="T24" s="88" t="str">
        <x:v>SY/T 6891.2-2020 表1 基础数据/运行维护、7；SY/T 6891.2-2020 表4</x:v>
      </x:c>
    </x:row>
    <x:row r="25" ht="60" customHeight="1">
      <x:c r="A25" s="88" t="n">
        <x:v>21</x:v>
      </x:c>
      <x:c r="B25" s="88" t="str">
        <x:v>施工、焊接与防护设施</x:v>
      </x:c>
      <x:c r="C25" s="88" t="str">
        <x:v>construction.cold_bend_radius_ratio</x:v>
      </x:c>
      <x:c r="D25" s="88" t="str">
        <x:v>冷弯管弯曲半径比</x:v>
      </x:c>
      <x:c r="E25" s="88" t="str">
        <x:v>segment</x:v>
      </x:c>
      <x:c r="F25" s="88" t="str">
        <x:v>number</x:v>
      </x:c>
      <x:c r="G25" s="88" t="str">
        <x:v>—</x:v>
      </x:c>
      <x:c r="H25" s="88" t="str">
        <x:v>SEGMENTATION；CORRECTION_MODEL_CANDIDATE；EVIDENCE</x:v>
      </x:c>
      <x:c r="I25" s="88" t="str">
        <x:v>manufacturing_construction；third_party_damage；external_corrosion；natural_geohazard</x:v>
      </x:c>
      <x:c r="J25" s="88" t="str">
        <x:v>engineering_indicators显式观测</x:v>
      </x:c>
      <x:c r="K25" s="89" t="str">
        <x:v>未判定</x:v>
      </x:c>
      <x:c r="L25" s="89"/>
      <x:c r="M25" s="89"/>
      <x:c r="N25" s="89"/>
      <x:c r="O25" s="90"/>
      <x:c r="P25" s="89"/>
      <x:c r="Q25" s="89"/>
      <x:c r="R25" s="89" t="str">
        <x:v>未审核</x:v>
      </x:c>
      <x:c r="S25" s="88" t="str">
        <x:f>IF(K25="未判定","未判定",IF(K25="不适用",IF(L25="","缺少不适用依据","已关闭"),IF(M25="","适用但缺值",IF(P25="","缺少来源",IF(Q25="","缺少填报人",IF(R25&lt;&gt;"已审核","待审核","完整"))))))</x:f>
        <x:v>未判定</x:v>
      </x:c>
      <x:c r="T25" s="88" t="str">
        <x:v>SY/T 6891.2-2020 表1 基础数据/运行维护、7；SY/T 6891.2-2020 表4</x:v>
      </x:c>
    </x:row>
    <x:row r="26" ht="60" customHeight="1">
      <x:c r="A26" s="88" t="n">
        <x:v>22</x:v>
      </x:c>
      <x:c r="B26" s="88" t="str">
        <x:v>施工、焊接与防护设施</x:v>
      </x:c>
      <x:c r="C26" s="88" t="str">
        <x:v>construction.backfill_type</x:v>
      </x:c>
      <x:c r="D26" s="88" t="str">
        <x:v>回填材料类型</x:v>
      </x:c>
      <x:c r="E26" s="88" t="str">
        <x:v>segment</x:v>
      </x:c>
      <x:c r="F26" s="88" t="str">
        <x:v>string</x:v>
      </x:c>
      <x:c r="G26" s="88" t="str">
        <x:v>—</x:v>
      </x:c>
      <x:c r="H26" s="88" t="str">
        <x:v>SEGMENTATION；CORRECTION_MODEL_CANDIDATE；EVIDENCE</x:v>
      </x:c>
      <x:c r="I26" s="88" t="str">
        <x:v>manufacturing_construction；third_party_damage；external_corrosion；natural_geohazard</x:v>
      </x:c>
      <x:c r="J26" s="88" t="str">
        <x:v>engineering_indicators显式观测</x:v>
      </x:c>
      <x:c r="K26" s="89" t="str">
        <x:v>未判定</x:v>
      </x:c>
      <x:c r="L26" s="89"/>
      <x:c r="M26" s="89"/>
      <x:c r="N26" s="89"/>
      <x:c r="O26" s="90"/>
      <x:c r="P26" s="89"/>
      <x:c r="Q26" s="89"/>
      <x:c r="R26" s="89" t="str">
        <x:v>未审核</x:v>
      </x:c>
      <x:c r="S26" s="88" t="str">
        <x:f>IF(K26="未判定","未判定",IF(K26="不适用",IF(L26="","缺少不适用依据","已关闭"),IF(M26="","适用但缺值",IF(P26="","缺少来源",IF(Q26="","缺少填报人",IF(R26&lt;&gt;"已审核","待审核","完整"))))))</x:f>
        <x:v>未判定</x:v>
      </x:c>
      <x:c r="T26" s="88" t="str">
        <x:v>SY/T 6891.2-2020 表1 基础数据/运行维护、7；SY/T 6891.2-2020 表4</x:v>
      </x:c>
    </x:row>
    <x:row r="27" ht="60" customHeight="1">
      <x:c r="A27" s="88" t="n">
        <x:v>23</x:v>
      </x:c>
      <x:c r="B27" s="88" t="str">
        <x:v>施工、焊接与防护设施</x:v>
      </x:c>
      <x:c r="C27" s="88" t="str">
        <x:v>construction.rock_shield_present</x:v>
      </x:c>
      <x:c r="D27" s="88" t="str">
        <x:v>石方段保护层</x:v>
      </x:c>
      <x:c r="E27" s="88" t="str">
        <x:v>segment</x:v>
      </x:c>
      <x:c r="F27" s="88" t="str">
        <x:v>boolean</x:v>
      </x:c>
      <x:c r="G27" s="88" t="str">
        <x:v>—</x:v>
      </x:c>
      <x:c r="H27" s="88" t="str">
        <x:v>SEGMENTATION；CORRECTION_MODEL_CANDIDATE；EVIDENCE</x:v>
      </x:c>
      <x:c r="I27" s="88" t="str">
        <x:v>manufacturing_construction；third_party_damage；external_corrosion；natural_geohazard</x:v>
      </x:c>
      <x:c r="J27" s="88" t="str">
        <x:v>engineering_indicators显式观测</x:v>
      </x:c>
      <x:c r="K27" s="89" t="str">
        <x:v>未判定</x:v>
      </x:c>
      <x:c r="L27" s="89"/>
      <x:c r="M27" s="89"/>
      <x:c r="N27" s="89"/>
      <x:c r="O27" s="90"/>
      <x:c r="P27" s="89"/>
      <x:c r="Q27" s="89"/>
      <x:c r="R27" s="89" t="str">
        <x:v>未审核</x:v>
      </x:c>
      <x:c r="S27" s="88" t="str">
        <x:f>IF(K27="未判定","未判定",IF(K27="不适用",IF(L27="","缺少不适用依据","已关闭"),IF(M27="","适用但缺值",IF(P27="","缺少来源",IF(Q27="","缺少填报人",IF(R27&lt;&gt;"已审核","待审核","完整"))))))</x:f>
        <x:v>未判定</x:v>
      </x:c>
      <x:c r="T27" s="88" t="str">
        <x:v>SY/T 6891.2-2020 表1 基础数据/运行维护、7；SY/T 6891.2-2020 表4</x:v>
      </x:c>
    </x:row>
    <x:row r="28" ht="60" customHeight="1">
      <x:c r="A28" s="88" t="n">
        <x:v>24</x:v>
      </x:c>
      <x:c r="B28" s="88" t="str">
        <x:v>施工、焊接与防护设施</x:v>
      </x:c>
      <x:c r="C28" s="88" t="str">
        <x:v>construction.casing_count_per_km</x:v>
      </x:c>
      <x:c r="D28" s="88" t="str">
        <x:v>套管密度</x:v>
      </x:c>
      <x:c r="E28" s="88" t="str">
        <x:v>segment</x:v>
      </x:c>
      <x:c r="F28" s="88" t="str">
        <x:v>number</x:v>
      </x:c>
      <x:c r="G28" s="88" t="str">
        <x:v>1/km</x:v>
      </x:c>
      <x:c r="H28" s="88" t="str">
        <x:v>SEGMENTATION；CORRECTION_MODEL_CANDIDATE；EVIDENCE</x:v>
      </x:c>
      <x:c r="I28" s="88" t="str">
        <x:v>manufacturing_construction；third_party_damage；external_corrosion；natural_geohazard</x:v>
      </x:c>
      <x:c r="J28" s="88" t="str">
        <x:v>engineering_indicators显式观测</x:v>
      </x:c>
      <x:c r="K28" s="89" t="str">
        <x:v>未判定</x:v>
      </x:c>
      <x:c r="L28" s="89"/>
      <x:c r="M28" s="89"/>
      <x:c r="N28" s="89"/>
      <x:c r="O28" s="90"/>
      <x:c r="P28" s="89"/>
      <x:c r="Q28" s="89"/>
      <x:c r="R28" s="89" t="str">
        <x:v>未审核</x:v>
      </x:c>
      <x:c r="S28" s="88" t="str">
        <x:f>IF(K28="未判定","未判定",IF(K28="不适用",IF(L28="","缺少不适用依据","已关闭"),IF(M28="","适用但缺值",IF(P28="","缺少来源",IF(Q28="","缺少填报人",IF(R28&lt;&gt;"已审核","待审核","完整"))))))</x:f>
        <x:v>未判定</x:v>
      </x:c>
      <x:c r="T28" s="88" t="str">
        <x:v>SY/T 6891.2-2020 表1 基础数据/运行维护、7；SY/T 6891.2-2020 表4</x:v>
      </x:c>
    </x:row>
    <x:row r="29" ht="60" customHeight="1">
      <x:c r="A29" s="88" t="n">
        <x:v>25</x:v>
      </x:c>
      <x:c r="B29" s="88" t="str">
        <x:v>施工、焊接与防护设施</x:v>
      </x:c>
      <x:c r="C29" s="88" t="str">
        <x:v>construction.casing_condition</x:v>
      </x:c>
      <x:c r="D29" s="88" t="str">
        <x:v>套管状态</x:v>
      </x:c>
      <x:c r="E29" s="88" t="str">
        <x:v>segment</x:v>
      </x:c>
      <x:c r="F29" s="88" t="str">
        <x:v>string</x:v>
      </x:c>
      <x:c r="G29" s="88" t="str">
        <x:v>—</x:v>
      </x:c>
      <x:c r="H29" s="88" t="str">
        <x:v>SEGMENTATION；CORRECTION_MODEL_CANDIDATE；EVIDENCE</x:v>
      </x:c>
      <x:c r="I29" s="88" t="str">
        <x:v>manufacturing_construction；third_party_damage；external_corrosion；natural_geohazard</x:v>
      </x:c>
      <x:c r="J29" s="88" t="str">
        <x:v>engineering_indicators显式观测</x:v>
      </x:c>
      <x:c r="K29" s="89" t="str">
        <x:v>未判定</x:v>
      </x:c>
      <x:c r="L29" s="89"/>
      <x:c r="M29" s="89"/>
      <x:c r="N29" s="89"/>
      <x:c r="O29" s="90"/>
      <x:c r="P29" s="89"/>
      <x:c r="Q29" s="89"/>
      <x:c r="R29" s="89" t="str">
        <x:v>未审核</x:v>
      </x:c>
      <x:c r="S29" s="88" t="str">
        <x:f>IF(K29="未判定","未判定",IF(K29="不适用",IF(L29="","缺少不适用依据","已关闭"),IF(M29="","适用但缺值",IF(P29="","缺少来源",IF(Q29="","缺少填报人",IF(R29&lt;&gt;"已审核","待审核","完整"))))))</x:f>
        <x:v>未判定</x:v>
      </x:c>
      <x:c r="T29" s="88" t="str">
        <x:v>SY/T 6891.2-2020 表1 基础数据/运行维护、7；SY/T 6891.2-2020 表4</x:v>
      </x:c>
    </x:row>
    <x:row r="30" ht="60" customHeight="1">
      <x:c r="A30" s="88" t="n">
        <x:v>26</x:v>
      </x:c>
      <x:c r="B30" s="88" t="str">
        <x:v>施工、焊接与防护设施</x:v>
      </x:c>
      <x:c r="C30" s="88" t="str">
        <x:v>construction.concrete_slab_coverage_fraction</x:v>
      </x:c>
      <x:c r="D30" s="88" t="str">
        <x:v>盖板保护覆盖率</x:v>
      </x:c>
      <x:c r="E30" s="88" t="str">
        <x:v>segment</x:v>
      </x:c>
      <x:c r="F30" s="88" t="str">
        <x:v>number</x:v>
      </x:c>
      <x:c r="G30" s="88" t="str">
        <x:v>—</x:v>
      </x:c>
      <x:c r="H30" s="88" t="str">
        <x:v>SEGMENTATION；CORRECTION_MODEL_CANDIDATE；EVIDENCE</x:v>
      </x:c>
      <x:c r="I30" s="88" t="str">
        <x:v>manufacturing_construction；third_party_damage；external_corrosion；natural_geohazard</x:v>
      </x:c>
      <x:c r="J30" s="88" t="str">
        <x:v>engineering_indicators显式观测</x:v>
      </x:c>
      <x:c r="K30" s="89" t="str">
        <x:v>未判定</x:v>
      </x:c>
      <x:c r="L30" s="89"/>
      <x:c r="M30" s="89"/>
      <x:c r="N30" s="89"/>
      <x:c r="O30" s="90"/>
      <x:c r="P30" s="89"/>
      <x:c r="Q30" s="89"/>
      <x:c r="R30" s="89" t="str">
        <x:v>未审核</x:v>
      </x:c>
      <x:c r="S30" s="88" t="str">
        <x:f>IF(K30="未判定","未判定",IF(K30="不适用",IF(L30="","缺少不适用依据","已关闭"),IF(M30="","适用但缺值",IF(P30="","缺少来源",IF(Q30="","缺少填报人",IF(R30&lt;&gt;"已审核","待审核","完整"))))))</x:f>
        <x:v>未判定</x:v>
      </x:c>
      <x:c r="T30" s="88" t="str">
        <x:v>SY/T 6891.2-2020 表1 基础数据/运行维护、7；SY/T 6891.2-2020 表4</x:v>
      </x:c>
    </x:row>
    <x:row r="31" ht="60" customHeight="1">
      <x:c r="A31" s="88" t="n">
        <x:v>27</x:v>
      </x:c>
      <x:c r="B31" s="88" t="str">
        <x:v>施工、焊接与防护设施</x:v>
      </x:c>
      <x:c r="C31" s="88" t="str">
        <x:v>construction.construction_nonconformity_count</x:v>
      </x:c>
      <x:c r="D31" s="88" t="str">
        <x:v>施工不符合项数量</x:v>
      </x:c>
      <x:c r="E31" s="88" t="str">
        <x:v>segment</x:v>
      </x:c>
      <x:c r="F31" s="88" t="str">
        <x:v>integer</x:v>
      </x:c>
      <x:c r="G31" s="88" t="str">
        <x:v>count</x:v>
      </x:c>
      <x:c r="H31" s="88" t="str">
        <x:v>SEGMENTATION；CORRECTION_MODEL_CANDIDATE；EVIDENCE</x:v>
      </x:c>
      <x:c r="I31" s="88" t="str">
        <x:v>manufacturing_construction；third_party_damage；external_corrosion；natural_geohazard</x:v>
      </x:c>
      <x:c r="J31" s="88" t="str">
        <x:v>engineering_indicators显式观测</x:v>
      </x:c>
      <x:c r="K31" s="89" t="str">
        <x:v>未判定</x:v>
      </x:c>
      <x:c r="L31" s="89"/>
      <x:c r="M31" s="89"/>
      <x:c r="N31" s="89"/>
      <x:c r="O31" s="90"/>
      <x:c r="P31" s="89"/>
      <x:c r="Q31" s="89"/>
      <x:c r="R31" s="89" t="str">
        <x:v>未审核</x:v>
      </x:c>
      <x:c r="S31" s="88" t="str">
        <x:f>IF(K31="未判定","未判定",IF(K31="不适用",IF(L31="","缺少不适用依据","已关闭"),IF(M31="","适用但缺值",IF(P31="","缺少来源",IF(Q31="","缺少填报人",IF(R31&lt;&gt;"已审核","待审核","完整"))))))</x:f>
        <x:v>未判定</x:v>
      </x:c>
      <x:c r="T31" s="88" t="str">
        <x:v>SY/T 6891.2-2020 表1 基础数据/运行维护、7；SY/T 6891.2-2020 表4</x:v>
      </x:c>
    </x:row>
    <x:row r="32" ht="60" customHeight="1">
      <x:c r="A32" s="88" t="n">
        <x:v>28</x:v>
      </x:c>
      <x:c r="B32" s="88" t="str">
        <x:v>运行工况与输送介质</x:v>
      </x:c>
      <x:c r="C32" s="88" t="str">
        <x:v>operation_medium.maximum_operating_pressure_mpa</x:v>
      </x:c>
      <x:c r="D32" s="88" t="str">
        <x:v>历史最高运行压力</x:v>
      </x:c>
      <x:c r="E32" s="88" t="str">
        <x:v>pipeline_or_segment</x:v>
      </x:c>
      <x:c r="F32" s="88" t="str">
        <x:v>number</x:v>
      </x:c>
      <x:c r="G32" s="88" t="str">
        <x:v>MPa</x:v>
      </x:c>
      <x:c r="H32" s="88" t="str">
        <x:v>DIRECT_MODEL_INPUT；SEGMENTATION；CORRECTION_MODEL_CANDIDATE</x:v>
      </x:c>
      <x:c r="I32" s="88" t="str">
        <x:v>internal_corrosion；stress_corrosion_cracking；misoperation</x:v>
      </x:c>
      <x:c r="J32" s="88" t="str">
        <x:v>engineering_indicators显式观测</x:v>
      </x:c>
      <x:c r="K32" s="89" t="str">
        <x:v>未判定</x:v>
      </x:c>
      <x:c r="L32" s="89"/>
      <x:c r="M32" s="89"/>
      <x:c r="N32" s="89"/>
      <x:c r="O32" s="90"/>
      <x:c r="P32" s="89"/>
      <x:c r="Q32" s="89"/>
      <x:c r="R32" s="89" t="str">
        <x:v>未审核</x:v>
      </x:c>
      <x:c r="S32" s="88" t="str">
        <x:f>IF(K32="未判定","未判定",IF(K32="不适用",IF(L32="","缺少不适用依据","已关闭"),IF(M32="","适用但缺值",IF(P32="","缺少来源",IF(Q32="","缺少填报人",IF(R32&lt;&gt;"已审核","待审核","完整"))))))</x:f>
        <x:v>未判定</x:v>
      </x:c>
      <x:c r="T32" s="88" t="str">
        <x:v>SY/T 6891.2-2020 表1 基础数据/运行维护、附录B；AQ/T 3046-2013 8-10</x:v>
      </x:c>
    </x:row>
    <x:row r="33" ht="60" customHeight="1">
      <x:c r="A33" s="88" t="n">
        <x:v>29</x:v>
      </x:c>
      <x:c r="B33" s="88" t="str">
        <x:v>运行工况与输送介质</x:v>
      </x:c>
      <x:c r="C33" s="88" t="str">
        <x:v>operation_medium.minimum_operating_pressure_mpa</x:v>
      </x:c>
      <x:c r="D33" s="88" t="str">
        <x:v>历史最低运行压力</x:v>
      </x:c>
      <x:c r="E33" s="88" t="str">
        <x:v>pipeline_or_segment</x:v>
      </x:c>
      <x:c r="F33" s="88" t="str">
        <x:v>number</x:v>
      </x:c>
      <x:c r="G33" s="88" t="str">
        <x:v>MPa</x:v>
      </x:c>
      <x:c r="H33" s="88" t="str">
        <x:v>DIRECT_MODEL_INPUT；SEGMENTATION；CORRECTION_MODEL_CANDIDATE</x:v>
      </x:c>
      <x:c r="I33" s="88" t="str">
        <x:v>internal_corrosion；stress_corrosion_cracking；misoperation</x:v>
      </x:c>
      <x:c r="J33" s="88" t="str">
        <x:v>engineering_indicators显式观测</x:v>
      </x:c>
      <x:c r="K33" s="89" t="str">
        <x:v>未判定</x:v>
      </x:c>
      <x:c r="L33" s="89"/>
      <x:c r="M33" s="89"/>
      <x:c r="N33" s="89"/>
      <x:c r="O33" s="90"/>
      <x:c r="P33" s="89"/>
      <x:c r="Q33" s="89"/>
      <x:c r="R33" s="89" t="str">
        <x:v>未审核</x:v>
      </x:c>
      <x:c r="S33" s="88" t="str">
        <x:f>IF(K33="未判定","未判定",IF(K33="不适用",IF(L33="","缺少不适用依据","已关闭"),IF(M33="","适用但缺值",IF(P33="","缺少来源",IF(Q33="","缺少填报人",IF(R33&lt;&gt;"已审核","待审核","完整"))))))</x:f>
        <x:v>未判定</x:v>
      </x:c>
      <x:c r="T33" s="88" t="str">
        <x:v>SY/T 6891.2-2020 表1 基础数据/运行维护、附录B；AQ/T 3046-2013 8-10</x:v>
      </x:c>
    </x:row>
    <x:row r="34" ht="60" customHeight="1">
      <x:c r="A34" s="88" t="n">
        <x:v>30</x:v>
      </x:c>
      <x:c r="B34" s="88" t="str">
        <x:v>运行工况与输送介质</x:v>
      </x:c>
      <x:c r="C34" s="88" t="str">
        <x:v>operation_medium.throughput_m3_d</x:v>
      </x:c>
      <x:c r="D34" s="88" t="str">
        <x:v>日输量</x:v>
      </x:c>
      <x:c r="E34" s="88" t="str">
        <x:v>pipeline_or_segment</x:v>
      </x:c>
      <x:c r="F34" s="88" t="str">
        <x:v>number</x:v>
      </x:c>
      <x:c r="G34" s="88" t="str">
        <x:v>m3/d</x:v>
      </x:c>
      <x:c r="H34" s="88" t="str">
        <x:v>DIRECT_MODEL_INPUT；SEGMENTATION；CORRECTION_MODEL_CANDIDATE</x:v>
      </x:c>
      <x:c r="I34" s="88" t="str">
        <x:v>internal_corrosion；stress_corrosion_cracking；misoperation</x:v>
      </x:c>
      <x:c r="J34" s="88" t="str">
        <x:v>engineering_indicators显式观测</x:v>
      </x:c>
      <x:c r="K34" s="89" t="str">
        <x:v>未判定</x:v>
      </x:c>
      <x:c r="L34" s="89"/>
      <x:c r="M34" s="89"/>
      <x:c r="N34" s="89"/>
      <x:c r="O34" s="90"/>
      <x:c r="P34" s="89"/>
      <x:c r="Q34" s="89"/>
      <x:c r="R34" s="89" t="str">
        <x:v>未审核</x:v>
      </x:c>
      <x:c r="S34" s="88" t="str">
        <x:f>IF(K34="未判定","未判定",IF(K34="不适用",IF(L34="","缺少不适用依据","已关闭"),IF(M34="","适用但缺值",IF(P34="","缺少来源",IF(Q34="","缺少填报人",IF(R34&lt;&gt;"已审核","待审核","完整"))))))</x:f>
        <x:v>未判定</x:v>
      </x:c>
      <x:c r="T34" s="88" t="str">
        <x:v>SY/T 6891.2-2020 表1 基础数据/运行维护、附录B；AQ/T 3046-2013 8-10</x:v>
      </x:c>
    </x:row>
    <x:row r="35" ht="60" customHeight="1">
      <x:c r="A35" s="88" t="n">
        <x:v>31</x:v>
      </x:c>
      <x:c r="B35" s="88" t="str">
        <x:v>运行工况与输送介质</x:v>
      </x:c>
      <x:c r="C35" s="88" t="str">
        <x:v>operation_medium.flow_velocity_m_s</x:v>
      </x:c>
      <x:c r="D35" s="88" t="str">
        <x:v>流速</x:v>
      </x:c>
      <x:c r="E35" s="88" t="str">
        <x:v>pipeline_or_segment</x:v>
      </x:c>
      <x:c r="F35" s="88" t="str">
        <x:v>number</x:v>
      </x:c>
      <x:c r="G35" s="88" t="str">
        <x:v>m/s</x:v>
      </x:c>
      <x:c r="H35" s="88" t="str">
        <x:v>DIRECT_MODEL_INPUT；SEGMENTATION；CORRECTION_MODEL_CANDIDATE</x:v>
      </x:c>
      <x:c r="I35" s="88" t="str">
        <x:v>internal_corrosion；stress_corrosion_cracking；misoperation</x:v>
      </x:c>
      <x:c r="J35" s="88" t="str">
        <x:v>engineering_indicators显式观测</x:v>
      </x:c>
      <x:c r="K35" s="89" t="str">
        <x:v>未判定</x:v>
      </x:c>
      <x:c r="L35" s="89"/>
      <x:c r="M35" s="89"/>
      <x:c r="N35" s="89"/>
      <x:c r="O35" s="90"/>
      <x:c r="P35" s="89"/>
      <x:c r="Q35" s="89"/>
      <x:c r="R35" s="89" t="str">
        <x:v>未审核</x:v>
      </x:c>
      <x:c r="S35" s="88" t="str">
        <x:f>IF(K35="未判定","未判定",IF(K35="不适用",IF(L35="","缺少不适用依据","已关闭"),IF(M35="","适用但缺值",IF(P35="","缺少来源",IF(Q35="","缺少填报人",IF(R35&lt;&gt;"已审核","待审核","完整"))))))</x:f>
        <x:v>未判定</x:v>
      </x:c>
      <x:c r="T35" s="88" t="str">
        <x:v>SY/T 6891.2-2020 表1 基础数据/运行维护、附录B；AQ/T 3046-2013 8-10</x:v>
      </x:c>
    </x:row>
    <x:row r="36" ht="60" customHeight="1">
      <x:c r="A36" s="88" t="n">
        <x:v>32</x:v>
      </x:c>
      <x:c r="B36" s="88" t="str">
        <x:v>运行工况与输送介质</x:v>
      </x:c>
      <x:c r="C36" s="88" t="str">
        <x:v>operation_medium.pressure_cycle_count_per_year</x:v>
      </x:c>
      <x:c r="D36" s="88" t="str">
        <x:v>年压力循环次数</x:v>
      </x:c>
      <x:c r="E36" s="88" t="str">
        <x:v>pipeline_or_segment</x:v>
      </x:c>
      <x:c r="F36" s="88" t="str">
        <x:v>number</x:v>
      </x:c>
      <x:c r="G36" s="88" t="str">
        <x:v>1/year</x:v>
      </x:c>
      <x:c r="H36" s="88" t="str">
        <x:v>DIRECT_MODEL_INPUT；SEGMENTATION；CORRECTION_MODEL_CANDIDATE</x:v>
      </x:c>
      <x:c r="I36" s="88" t="str">
        <x:v>internal_corrosion；stress_corrosion_cracking；misoperation</x:v>
      </x:c>
      <x:c r="J36" s="88" t="str">
        <x:v>engineering_indicators显式观测</x:v>
      </x:c>
      <x:c r="K36" s="89" t="str">
        <x:v>未判定</x:v>
      </x:c>
      <x:c r="L36" s="89"/>
      <x:c r="M36" s="89"/>
      <x:c r="N36" s="89"/>
      <x:c r="O36" s="90"/>
      <x:c r="P36" s="89"/>
      <x:c r="Q36" s="89"/>
      <x:c r="R36" s="89" t="str">
        <x:v>未审核</x:v>
      </x:c>
      <x:c r="S36" s="88" t="str">
        <x:f>IF(K36="未判定","未判定",IF(K36="不适用",IF(L36="","缺少不适用依据","已关闭"),IF(M36="","适用但缺值",IF(P36="","缺少来源",IF(Q36="","缺少填报人",IF(R36&lt;&gt;"已审核","待审核","完整"))))))</x:f>
        <x:v>未判定</x:v>
      </x:c>
      <x:c r="T36" s="88" t="str">
        <x:v>SY/T 6891.2-2020 表1 基础数据/运行维护、附录B；AQ/T 3046-2013 8-10</x:v>
      </x:c>
    </x:row>
    <x:row r="37" ht="60" customHeight="1">
      <x:c r="A37" s="88" t="n">
        <x:v>33</x:v>
      </x:c>
      <x:c r="B37" s="88" t="str">
        <x:v>运行工况与输送介质</x:v>
      </x:c>
      <x:c r="C37" s="88" t="str">
        <x:v>operation_medium.pressure_cycle_range_mpa</x:v>
      </x:c>
      <x:c r="D37" s="88" t="str">
        <x:v>压力循环幅值</x:v>
      </x:c>
      <x:c r="E37" s="88" t="str">
        <x:v>pipeline_or_segment</x:v>
      </x:c>
      <x:c r="F37" s="88" t="str">
        <x:v>number</x:v>
      </x:c>
      <x:c r="G37" s="88" t="str">
        <x:v>MPa</x:v>
      </x:c>
      <x:c r="H37" s="88" t="str">
        <x:v>DIRECT_MODEL_INPUT；SEGMENTATION；CORRECTION_MODEL_CANDIDATE</x:v>
      </x:c>
      <x:c r="I37" s="88" t="str">
        <x:v>internal_corrosion；stress_corrosion_cracking；misoperation</x:v>
      </x:c>
      <x:c r="J37" s="88" t="str">
        <x:v>engineering_indicators显式观测</x:v>
      </x:c>
      <x:c r="K37" s="89" t="str">
        <x:v>未判定</x:v>
      </x:c>
      <x:c r="L37" s="89"/>
      <x:c r="M37" s="89"/>
      <x:c r="N37" s="89"/>
      <x:c r="O37" s="90"/>
      <x:c r="P37" s="89"/>
      <x:c r="Q37" s="89"/>
      <x:c r="R37" s="89" t="str">
        <x:v>未审核</x:v>
      </x:c>
      <x:c r="S37" s="88" t="str">
        <x:f>IF(K37="未判定","未判定",IF(K37="不适用",IF(L37="","缺少不适用依据","已关闭"),IF(M37="","适用但缺值",IF(P37="","缺少来源",IF(Q37="","缺少填报人",IF(R37&lt;&gt;"已审核","待审核","完整"))))))</x:f>
        <x:v>未判定</x:v>
      </x:c>
      <x:c r="T37" s="88" t="str">
        <x:v>SY/T 6891.2-2020 表1 基础数据/运行维护、附录B；AQ/T 3046-2013 8-10</x:v>
      </x:c>
    </x:row>
    <x:row r="38" ht="60" customHeight="1">
      <x:c r="A38" s="88" t="n">
        <x:v>34</x:v>
      </x:c>
      <x:c r="B38" s="88" t="str">
        <x:v>运行工况与输送介质</x:v>
      </x:c>
      <x:c r="C38" s="88" t="str">
        <x:v>operation_medium.overpressure_events_per_year</x:v>
      </x:c>
      <x:c r="D38" s="88" t="str">
        <x:v>年超压次数</x:v>
      </x:c>
      <x:c r="E38" s="88" t="str">
        <x:v>pipeline_or_segment</x:v>
      </x:c>
      <x:c r="F38" s="88" t="str">
        <x:v>number</x:v>
      </x:c>
      <x:c r="G38" s="88" t="str">
        <x:v>1/year</x:v>
      </x:c>
      <x:c r="H38" s="88" t="str">
        <x:v>DIRECT_MODEL_INPUT；SEGMENTATION；CORRECTION_MODEL_CANDIDATE</x:v>
      </x:c>
      <x:c r="I38" s="88" t="str">
        <x:v>internal_corrosion；stress_corrosion_cracking；misoperation</x:v>
      </x:c>
      <x:c r="J38" s="88" t="str">
        <x:v>engineering_indicators显式观测</x:v>
      </x:c>
      <x:c r="K38" s="89" t="str">
        <x:v>未判定</x:v>
      </x:c>
      <x:c r="L38" s="89"/>
      <x:c r="M38" s="89"/>
      <x:c r="N38" s="89"/>
      <x:c r="O38" s="90"/>
      <x:c r="P38" s="89"/>
      <x:c r="Q38" s="89"/>
      <x:c r="R38" s="89" t="str">
        <x:v>未审核</x:v>
      </x:c>
      <x:c r="S38" s="88" t="str">
        <x:f>IF(K38="未判定","未判定",IF(K38="不适用",IF(L38="","缺少不适用依据","已关闭"),IF(M38="","适用但缺值",IF(P38="","缺少来源",IF(Q38="","缺少填报人",IF(R38&lt;&gt;"已审核","待审核","完整"))))))</x:f>
        <x:v>未判定</x:v>
      </x:c>
      <x:c r="T38" s="88" t="str">
        <x:v>SY/T 6891.2-2020 表1 基础数据/运行维护、附录B；AQ/T 3046-2013 8-10</x:v>
      </x:c>
    </x:row>
    <x:row r="39" ht="60" customHeight="1">
      <x:c r="A39" s="88" t="n">
        <x:v>35</x:v>
      </x:c>
      <x:c r="B39" s="88" t="str">
        <x:v>运行工况与输送介质</x:v>
      </x:c>
      <x:c r="C39" s="88" t="str">
        <x:v>operation_medium.shutdown_events_per_year</x:v>
      </x:c>
      <x:c r="D39" s="88" t="str">
        <x:v>年停输次数</x:v>
      </x:c>
      <x:c r="E39" s="88" t="str">
        <x:v>pipeline_or_segment</x:v>
      </x:c>
      <x:c r="F39" s="88" t="str">
        <x:v>number</x:v>
      </x:c>
      <x:c r="G39" s="88" t="str">
        <x:v>1/year</x:v>
      </x:c>
      <x:c r="H39" s="88" t="str">
        <x:v>DIRECT_MODEL_INPUT；SEGMENTATION；CORRECTION_MODEL_CANDIDATE</x:v>
      </x:c>
      <x:c r="I39" s="88" t="str">
        <x:v>internal_corrosion；stress_corrosion_cracking；misoperation</x:v>
      </x:c>
      <x:c r="J39" s="88" t="str">
        <x:v>engineering_indicators显式观测</x:v>
      </x:c>
      <x:c r="K39" s="89" t="str">
        <x:v>未判定</x:v>
      </x:c>
      <x:c r="L39" s="89"/>
      <x:c r="M39" s="89"/>
      <x:c r="N39" s="89"/>
      <x:c r="O39" s="90"/>
      <x:c r="P39" s="89"/>
      <x:c r="Q39" s="89"/>
      <x:c r="R39" s="89" t="str">
        <x:v>未审核</x:v>
      </x:c>
      <x:c r="S39" s="88" t="str">
        <x:f>IF(K39="未判定","未判定",IF(K39="不适用",IF(L39="","缺少不适用依据","已关闭"),IF(M39="","适用但缺值",IF(P39="","缺少来源",IF(Q39="","缺少填报人",IF(R39&lt;&gt;"已审核","待审核","完整"))))))</x:f>
        <x:v>未判定</x:v>
      </x:c>
      <x:c r="T39" s="88" t="str">
        <x:v>SY/T 6891.2-2020 表1 基础数据/运行维护、附录B；AQ/T 3046-2013 8-10</x:v>
      </x:c>
    </x:row>
    <x:row r="40" ht="60" customHeight="1">
      <x:c r="A40" s="88" t="n">
        <x:v>36</x:v>
      </x:c>
      <x:c r="B40" s="88" t="str">
        <x:v>运行工况与输送介质</x:v>
      </x:c>
      <x:c r="C40" s="88" t="str">
        <x:v>operation_medium.gas_co2_fraction</x:v>
      </x:c>
      <x:c r="D40" s="88" t="str">
        <x:v>二氧化碳摩尔分数</x:v>
      </x:c>
      <x:c r="E40" s="88" t="str">
        <x:v>pipeline_or_segment</x:v>
      </x:c>
      <x:c r="F40" s="88" t="str">
        <x:v>number</x:v>
      </x:c>
      <x:c r="G40" s="88" t="str">
        <x:v>—</x:v>
      </x:c>
      <x:c r="H40" s="88" t="str">
        <x:v>DIRECT_MODEL_INPUT；SEGMENTATION；CORRECTION_MODEL_CANDIDATE</x:v>
      </x:c>
      <x:c r="I40" s="88" t="str">
        <x:v>internal_corrosion；stress_corrosion_cracking；misoperation</x:v>
      </x:c>
      <x:c r="J40" s="88" t="str">
        <x:v>pipeline.gas_composition_mole_fraction.carbon_dioxide</x:v>
      </x:c>
      <x:c r="K40" s="89" t="str">
        <x:v>未判定</x:v>
      </x:c>
      <x:c r="L40" s="89"/>
      <x:c r="M40" s="89"/>
      <x:c r="N40" s="89"/>
      <x:c r="O40" s="90"/>
      <x:c r="P40" s="89"/>
      <x:c r="Q40" s="89"/>
      <x:c r="R40" s="89" t="str">
        <x:v>未审核</x:v>
      </x:c>
      <x:c r="S40" s="88" t="str">
        <x:f>IF(K40="未判定","未判定",IF(K40="不适用",IF(L40="","缺少不适用依据","已关闭"),IF(M40="","适用但缺值",IF(P40="","缺少来源",IF(Q40="","缺少填报人",IF(R40&lt;&gt;"已审核","待审核","完整"))))))</x:f>
        <x:v>未判定</x:v>
      </x:c>
      <x:c r="T40" s="88" t="str">
        <x:v>SY/T 6891.2-2020 表1 基础数据/运行维护、附录B；AQ/T 3046-2013 8-10</x:v>
      </x:c>
    </x:row>
    <x:row r="41" ht="60" customHeight="1">
      <x:c r="A41" s="88" t="n">
        <x:v>37</x:v>
      </x:c>
      <x:c r="B41" s="88" t="str">
        <x:v>运行工况与输送介质</x:v>
      </x:c>
      <x:c r="C41" s="88" t="str">
        <x:v>operation_medium.gas_h2s_fraction</x:v>
      </x:c>
      <x:c r="D41" s="88" t="str">
        <x:v>硫化氢摩尔分数</x:v>
      </x:c>
      <x:c r="E41" s="88" t="str">
        <x:v>pipeline_or_segment</x:v>
      </x:c>
      <x:c r="F41" s="88" t="str">
        <x:v>number</x:v>
      </x:c>
      <x:c r="G41" s="88" t="str">
        <x:v>—</x:v>
      </x:c>
      <x:c r="H41" s="88" t="str">
        <x:v>DIRECT_MODEL_INPUT；SEGMENTATION；CORRECTION_MODEL_CANDIDATE</x:v>
      </x:c>
      <x:c r="I41" s="88" t="str">
        <x:v>internal_corrosion；stress_corrosion_cracking；misoperation</x:v>
      </x:c>
      <x:c r="J41" s="88" t="str">
        <x:v>engineering_indicators显式观测</x:v>
      </x:c>
      <x:c r="K41" s="89" t="str">
        <x:v>未判定</x:v>
      </x:c>
      <x:c r="L41" s="89"/>
      <x:c r="M41" s="89"/>
      <x:c r="N41" s="89"/>
      <x:c r="O41" s="90"/>
      <x:c r="P41" s="89"/>
      <x:c r="Q41" s="89"/>
      <x:c r="R41" s="89" t="str">
        <x:v>未审核</x:v>
      </x:c>
      <x:c r="S41" s="88" t="str">
        <x:f>IF(K41="未判定","未判定",IF(K41="不适用",IF(L41="","缺少不适用依据","已关闭"),IF(M41="","适用但缺值",IF(P41="","缺少来源",IF(Q41="","缺少填报人",IF(R41&lt;&gt;"已审核","待审核","完整"))))))</x:f>
        <x:v>未判定</x:v>
      </x:c>
      <x:c r="T41" s="88" t="str">
        <x:v>SY/T 6891.2-2020 表1 基础数据/运行维护、附录B；AQ/T 3046-2013 8-10</x:v>
      </x:c>
    </x:row>
    <x:row r="42" ht="60" customHeight="1">
      <x:c r="A42" s="88" t="n">
        <x:v>38</x:v>
      </x:c>
      <x:c r="B42" s="88" t="str">
        <x:v>运行工况与输送介质</x:v>
      </x:c>
      <x:c r="C42" s="88" t="str">
        <x:v>operation_medium.gas_water_content_mg_m3</x:v>
      </x:c>
      <x:c r="D42" s="88" t="str">
        <x:v>天然气含水量</x:v>
      </x:c>
      <x:c r="E42" s="88" t="str">
        <x:v>pipeline_or_segment</x:v>
      </x:c>
      <x:c r="F42" s="88" t="str">
        <x:v>number</x:v>
      </x:c>
      <x:c r="G42" s="88" t="str">
        <x:v>mg/m3</x:v>
      </x:c>
      <x:c r="H42" s="88" t="str">
        <x:v>DIRECT_MODEL_INPUT；SEGMENTATION；CORRECTION_MODEL_CANDIDATE</x:v>
      </x:c>
      <x:c r="I42" s="88" t="str">
        <x:v>internal_corrosion；stress_corrosion_cracking；misoperation</x:v>
      </x:c>
      <x:c r="J42" s="88" t="str">
        <x:v>engineering_indicators显式观测</x:v>
      </x:c>
      <x:c r="K42" s="89" t="str">
        <x:v>未判定</x:v>
      </x:c>
      <x:c r="L42" s="89"/>
      <x:c r="M42" s="89"/>
      <x:c r="N42" s="89"/>
      <x:c r="O42" s="90"/>
      <x:c r="P42" s="89"/>
      <x:c r="Q42" s="89"/>
      <x:c r="R42" s="89" t="str">
        <x:v>未审核</x:v>
      </x:c>
      <x:c r="S42" s="88" t="str">
        <x:f>IF(K42="未判定","未判定",IF(K42="不适用",IF(L42="","缺少不适用依据","已关闭"),IF(M42="","适用但缺值",IF(P42="","缺少来源",IF(Q42="","缺少填报人",IF(R42&lt;&gt;"已审核","待审核","完整"))))))</x:f>
        <x:v>未判定</x:v>
      </x:c>
      <x:c r="T42" s="88" t="str">
        <x:v>SY/T 6891.2-2020 表1 基础数据/运行维护、附录B；AQ/T 3046-2013 8-10</x:v>
      </x:c>
    </x:row>
    <x:row r="43" ht="60" customHeight="1">
      <x:c r="A43" s="88" t="n">
        <x:v>39</x:v>
      </x:c>
      <x:c r="B43" s="88" t="str">
        <x:v>运行工况与输送介质</x:v>
      </x:c>
      <x:c r="C43" s="88" t="str">
        <x:v>operation_medium.hydrocarbon_dew_point_k</x:v>
      </x:c>
      <x:c r="D43" s="88" t="str">
        <x:v>烃露点</x:v>
      </x:c>
      <x:c r="E43" s="88" t="str">
        <x:v>pipeline_or_segment</x:v>
      </x:c>
      <x:c r="F43" s="88" t="str">
        <x:v>number</x:v>
      </x:c>
      <x:c r="G43" s="88" t="str">
        <x:v>K</x:v>
      </x:c>
      <x:c r="H43" s="88" t="str">
        <x:v>DIRECT_MODEL_INPUT；SEGMENTATION；CORRECTION_MODEL_CANDIDATE</x:v>
      </x:c>
      <x:c r="I43" s="88" t="str">
        <x:v>internal_corrosion；stress_corrosion_cracking；misoperation</x:v>
      </x:c>
      <x:c r="J43" s="88" t="str">
        <x:v>engineering_indicators显式观测</x:v>
      </x:c>
      <x:c r="K43" s="89" t="str">
        <x:v>未判定</x:v>
      </x:c>
      <x:c r="L43" s="89"/>
      <x:c r="M43" s="89"/>
      <x:c r="N43" s="89"/>
      <x:c r="O43" s="90"/>
      <x:c r="P43" s="89"/>
      <x:c r="Q43" s="89"/>
      <x:c r="R43" s="89" t="str">
        <x:v>未审核</x:v>
      </x:c>
      <x:c r="S43" s="88" t="str">
        <x:f>IF(K43="未判定","未判定",IF(K43="不适用",IF(L43="","缺少不适用依据","已关闭"),IF(M43="","适用但缺值",IF(P43="","缺少来源",IF(Q43="","缺少填报人",IF(R43&lt;&gt;"已审核","待审核","完整"))))))</x:f>
        <x:v>未判定</x:v>
      </x:c>
      <x:c r="T43" s="88" t="str">
        <x:v>SY/T 6891.2-2020 表1 基础数据/运行维护、附录B；AQ/T 3046-2013 8-10</x:v>
      </x:c>
    </x:row>
    <x:row r="44" ht="60" customHeight="1">
      <x:c r="A44" s="88" t="n">
        <x:v>40</x:v>
      </x:c>
      <x:c r="B44" s="88" t="str">
        <x:v>运行工况与输送介质</x:v>
      </x:c>
      <x:c r="C44" s="88" t="str">
        <x:v>operation_medium.water_dew_point_k</x:v>
      </x:c>
      <x:c r="D44" s="88" t="str">
        <x:v>水露点</x:v>
      </x:c>
      <x:c r="E44" s="88" t="str">
        <x:v>pipeline_or_segment</x:v>
      </x:c>
      <x:c r="F44" s="88" t="str">
        <x:v>number</x:v>
      </x:c>
      <x:c r="G44" s="88" t="str">
        <x:v>K</x:v>
      </x:c>
      <x:c r="H44" s="88" t="str">
        <x:v>DIRECT_MODEL_INPUT；SEGMENTATION；CORRECTION_MODEL_CANDIDATE</x:v>
      </x:c>
      <x:c r="I44" s="88" t="str">
        <x:v>internal_corrosion；stress_corrosion_cracking；misoperation</x:v>
      </x:c>
      <x:c r="J44" s="88" t="str">
        <x:v>engineering_indicators显式观测</x:v>
      </x:c>
      <x:c r="K44" s="89" t="str">
        <x:v>未判定</x:v>
      </x:c>
      <x:c r="L44" s="89"/>
      <x:c r="M44" s="89"/>
      <x:c r="N44" s="89"/>
      <x:c r="O44" s="90"/>
      <x:c r="P44" s="89"/>
      <x:c r="Q44" s="89"/>
      <x:c r="R44" s="89" t="str">
        <x:v>未审核</x:v>
      </x:c>
      <x:c r="S44" s="88" t="str">
        <x:f>IF(K44="未判定","未判定",IF(K44="不适用",IF(L44="","缺少不适用依据","已关闭"),IF(M44="","适用但缺值",IF(P44="","缺少来源",IF(Q44="","缺少填报人",IF(R44&lt;&gt;"已审核","待审核","完整"))))))</x:f>
        <x:v>未判定</x:v>
      </x:c>
      <x:c r="T44" s="88" t="str">
        <x:v>SY/T 6891.2-2020 表1 基础数据/运行维护、附录B；AQ/T 3046-2013 8-10</x:v>
      </x:c>
    </x:row>
    <x:row r="45" ht="60" customHeight="1">
      <x:c r="A45" s="88" t="n">
        <x:v>41</x:v>
      </x:c>
      <x:c r="B45" s="88" t="str">
        <x:v>运行工况与输送介质</x:v>
      </x:c>
      <x:c r="C45" s="88" t="str">
        <x:v>operation_medium.liquid_carryover_events_per_year</x:v>
      </x:c>
      <x:c r="D45" s="88" t="str">
        <x:v>液体夹带事件次数</x:v>
      </x:c>
      <x:c r="E45" s="88" t="str">
        <x:v>pipeline_or_segment</x:v>
      </x:c>
      <x:c r="F45" s="88" t="str">
        <x:v>number</x:v>
      </x:c>
      <x:c r="G45" s="88" t="str">
        <x:v>1/year</x:v>
      </x:c>
      <x:c r="H45" s="88" t="str">
        <x:v>DIRECT_MODEL_INPUT；SEGMENTATION；CORRECTION_MODEL_CANDIDATE</x:v>
      </x:c>
      <x:c r="I45" s="88" t="str">
        <x:v>internal_corrosion；stress_corrosion_cracking；misoperation</x:v>
      </x:c>
      <x:c r="J45" s="88" t="str">
        <x:v>engineering_indicators显式观测</x:v>
      </x:c>
      <x:c r="K45" s="89" t="str">
        <x:v>未判定</x:v>
      </x:c>
      <x:c r="L45" s="89"/>
      <x:c r="M45" s="89"/>
      <x:c r="N45" s="89"/>
      <x:c r="O45" s="90"/>
      <x:c r="P45" s="89"/>
      <x:c r="Q45" s="89"/>
      <x:c r="R45" s="89" t="str">
        <x:v>未审核</x:v>
      </x:c>
      <x:c r="S45" s="88" t="str">
        <x:f>IF(K45="未判定","未判定",IF(K45="不适用",IF(L45="","缺少不适用依据","已关闭"),IF(M45="","适用但缺值",IF(P45="","缺少来源",IF(Q45="","缺少填报人",IF(R45&lt;&gt;"已审核","待审核","完整"))))))</x:f>
        <x:v>未判定</x:v>
      </x:c>
      <x:c r="T45" s="88" t="str">
        <x:v>SY/T 6891.2-2020 表1 基础数据/运行维护、附录B；AQ/T 3046-2013 8-10</x:v>
      </x:c>
    </x:row>
    <x:row r="46" ht="60" customHeight="1">
      <x:c r="A46" s="88" t="n">
        <x:v>42</x:v>
      </x:c>
      <x:c r="B46" s="88" t="str">
        <x:v>阀室、隔离、监控与泄漏检测</x:v>
      </x:c>
      <x:c r="C46" s="88" t="str">
        <x:v>valve_control.valve_type</x:v>
      </x:c>
      <x:c r="D46" s="88" t="str">
        <x:v>隔离阀类型</x:v>
      </x:c>
      <x:c r="E46" s="88" t="str">
        <x:v>segment</x:v>
      </x:c>
      <x:c r="F46" s="88" t="str">
        <x:v>string</x:v>
      </x:c>
      <x:c r="G46" s="88" t="str">
        <x:v>—</x:v>
      </x:c>
      <x:c r="H46" s="88" t="str">
        <x:v>DIRECT_MODEL_INPUT；CONSEQUENCE_MODEL_INPUT；FORMAL_RELEASE_GATE</x:v>
      </x:c>
      <x:c r="I46" s="88" t="str">
        <x:v>misoperation</x:v>
      </x:c>
      <x:c r="J46" s="88" t="str">
        <x:v>engineering_indicators显式观测</x:v>
      </x:c>
      <x:c r="K46" s="89" t="str">
        <x:v>未判定</x:v>
      </x:c>
      <x:c r="L46" s="89"/>
      <x:c r="M46" s="89"/>
      <x:c r="N46" s="89"/>
      <x:c r="O46" s="90"/>
      <x:c r="P46" s="89"/>
      <x:c r="Q46" s="89"/>
      <x:c r="R46" s="89" t="str">
        <x:v>未审核</x:v>
      </x:c>
      <x:c r="S46" s="88" t="str">
        <x:f>IF(K46="未判定","未判定",IF(K46="不适用",IF(L46="","缺少不适用依据","已关闭"),IF(M46="","适用但缺值",IF(P46="","缺少来源",IF(Q46="","缺少填报人",IF(R46&lt;&gt;"已审核","待审核","完整"))))))</x:f>
        <x:v>未判定</x:v>
      </x:c>
      <x:c r="T46" s="88" t="str">
        <x:v>SY/T 6891.2-2020 表1 基础数据/运行维护、9.2、表4；AQ/T 3046-2013 9.1</x:v>
      </x:c>
    </x:row>
    <x:row r="47" ht="60" customHeight="1">
      <x:c r="A47" s="88" t="n">
        <x:v>43</x:v>
      </x:c>
      <x:c r="B47" s="88" t="str">
        <x:v>阀室、隔离、监控与泄漏检测</x:v>
      </x:c>
      <x:c r="C47" s="88" t="str">
        <x:v>valve_control.valve_fail_to_close_probability</x:v>
      </x:c>
      <x:c r="D47" s="88" t="str">
        <x:v>阀门拒关概率</x:v>
      </x:c>
      <x:c r="E47" s="88" t="str">
        <x:v>segment</x:v>
      </x:c>
      <x:c r="F47" s="88" t="str">
        <x:v>number</x:v>
      </x:c>
      <x:c r="G47" s="88" t="str">
        <x:v>—</x:v>
      </x:c>
      <x:c r="H47" s="88" t="str">
        <x:v>DIRECT_MODEL_INPUT；CONSEQUENCE_MODEL_INPUT；FORMAL_RELEASE_GATE</x:v>
      </x:c>
      <x:c r="I47" s="88" t="str">
        <x:v>misoperation</x:v>
      </x:c>
      <x:c r="J47" s="88" t="str">
        <x:v>engineering_indicators显式观测</x:v>
      </x:c>
      <x:c r="K47" s="89" t="str">
        <x:v>未判定</x:v>
      </x:c>
      <x:c r="L47" s="89"/>
      <x:c r="M47" s="89"/>
      <x:c r="N47" s="89"/>
      <x:c r="O47" s="90"/>
      <x:c r="P47" s="89"/>
      <x:c r="Q47" s="89"/>
      <x:c r="R47" s="89" t="str">
        <x:v>未审核</x:v>
      </x:c>
      <x:c r="S47" s="88" t="str">
        <x:f>IF(K47="未判定","未判定",IF(K47="不适用",IF(L47="","缺少不适用依据","已关闭"),IF(M47="","适用但缺值",IF(P47="","缺少来源",IF(Q47="","缺少填报人",IF(R47&lt;&gt;"已审核","待审核","完整"))))))</x:f>
        <x:v>未判定</x:v>
      </x:c>
      <x:c r="T47" s="88" t="str">
        <x:v>SY/T 6891.2-2020 表1 基础数据/运行维护、9.2、表4；AQ/T 3046-2013 9.1</x:v>
      </x:c>
    </x:row>
    <x:row r="48" ht="60" customHeight="1">
      <x:c r="A48" s="88" t="n">
        <x:v>44</x:v>
      </x:c>
      <x:c r="B48" s="88" t="str">
        <x:v>阀室、隔离、监控与泄漏检测</x:v>
      </x:c>
      <x:c r="C48" s="88" t="str">
        <x:v>valve_control.valve_internal_leak_probability</x:v>
      </x:c>
      <x:c r="D48" s="88" t="str">
        <x:v>阀门内漏概率</x:v>
      </x:c>
      <x:c r="E48" s="88" t="str">
        <x:v>segment</x:v>
      </x:c>
      <x:c r="F48" s="88" t="str">
        <x:v>number</x:v>
      </x:c>
      <x:c r="G48" s="88" t="str">
        <x:v>—</x:v>
      </x:c>
      <x:c r="H48" s="88" t="str">
        <x:v>DIRECT_MODEL_INPUT；CONSEQUENCE_MODEL_INPUT；FORMAL_RELEASE_GATE</x:v>
      </x:c>
      <x:c r="I48" s="88" t="str">
        <x:v>misoperation</x:v>
      </x:c>
      <x:c r="J48" s="88" t="str">
        <x:v>engineering_indicators显式观测</x:v>
      </x:c>
      <x:c r="K48" s="89" t="str">
        <x:v>未判定</x:v>
      </x:c>
      <x:c r="L48" s="89"/>
      <x:c r="M48" s="89"/>
      <x:c r="N48" s="89"/>
      <x:c r="O48" s="90"/>
      <x:c r="P48" s="89"/>
      <x:c r="Q48" s="89"/>
      <x:c r="R48" s="89" t="str">
        <x:v>未审核</x:v>
      </x:c>
      <x:c r="S48" s="88" t="str">
        <x:f>IF(K48="未判定","未判定",IF(K48="不适用",IF(L48="","缺少不适用依据","已关闭"),IF(M48="","适用但缺值",IF(P48="","缺少来源",IF(Q48="","缺少填报人",IF(R48&lt;&gt;"已审核","待审核","完整"))))))</x:f>
        <x:v>未判定</x:v>
      </x:c>
      <x:c r="T48" s="88" t="str">
        <x:v>SY/T 6891.2-2020 表1 基础数据/运行维护、9.2、表4；AQ/T 3046-2013 9.1</x:v>
      </x:c>
    </x:row>
    <x:row r="49" ht="60" customHeight="1">
      <x:c r="A49" s="88" t="n">
        <x:v>45</x:v>
      </x:c>
      <x:c r="B49" s="88" t="str">
        <x:v>阀室、隔离、监控与泄漏检测</x:v>
      </x:c>
      <x:c r="C49" s="88" t="str">
        <x:v>valve_control.valve_test_interval_days</x:v>
      </x:c>
      <x:c r="D49" s="88" t="str">
        <x:v>阀门测试周期</x:v>
      </x:c>
      <x:c r="E49" s="88" t="str">
        <x:v>segment</x:v>
      </x:c>
      <x:c r="F49" s="88" t="str">
        <x:v>number</x:v>
      </x:c>
      <x:c r="G49" s="88" t="str">
        <x:v>day</x:v>
      </x:c>
      <x:c r="H49" s="88" t="str">
        <x:v>DIRECT_MODEL_INPUT；CONSEQUENCE_MODEL_INPUT；FORMAL_RELEASE_GATE</x:v>
      </x:c>
      <x:c r="I49" s="88" t="str">
        <x:v>misoperation</x:v>
      </x:c>
      <x:c r="J49" s="88" t="str">
        <x:v>engineering_indicators显式观测</x:v>
      </x:c>
      <x:c r="K49" s="89" t="str">
        <x:v>未判定</x:v>
      </x:c>
      <x:c r="L49" s="89"/>
      <x:c r="M49" s="89"/>
      <x:c r="N49" s="89"/>
      <x:c r="O49" s="90"/>
      <x:c r="P49" s="89"/>
      <x:c r="Q49" s="89"/>
      <x:c r="R49" s="89" t="str">
        <x:v>未审核</x:v>
      </x:c>
      <x:c r="S49" s="88" t="str">
        <x:f>IF(K49="未判定","未判定",IF(K49="不适用",IF(L49="","缺少不适用依据","已关闭"),IF(M49="","适用但缺值",IF(P49="","缺少来源",IF(Q49="","缺少填报人",IF(R49&lt;&gt;"已审核","待审核","完整"))))))</x:f>
        <x:v>未判定</x:v>
      </x:c>
      <x:c r="T49" s="88" t="str">
        <x:v>SY/T 6891.2-2020 表1 基础数据/运行维护、9.2、表4；AQ/T 3046-2013 9.1</x:v>
      </x:c>
    </x:row>
    <x:row r="50" ht="60" customHeight="1">
      <x:c r="A50" s="88" t="n">
        <x:v>46</x:v>
      </x:c>
      <x:c r="B50" s="88" t="str">
        <x:v>阀室、隔离、监控与泄漏检测</x:v>
      </x:c>
      <x:c r="C50" s="88" t="str">
        <x:v>valve_control.scada_availability_fraction</x:v>
      </x:c>
      <x:c r="D50" s="88" t="str">
        <x:v>SCADA可用率</x:v>
      </x:c>
      <x:c r="E50" s="88" t="str">
        <x:v>segment</x:v>
      </x:c>
      <x:c r="F50" s="88" t="str">
        <x:v>number</x:v>
      </x:c>
      <x:c r="G50" s="88" t="str">
        <x:v>—</x:v>
      </x:c>
      <x:c r="H50" s="88" t="str">
        <x:v>DIRECT_MODEL_INPUT；CONSEQUENCE_MODEL_INPUT；FORMAL_RELEASE_GATE</x:v>
      </x:c>
      <x:c r="I50" s="88" t="str">
        <x:v>misoperation</x:v>
      </x:c>
      <x:c r="J50" s="88" t="str">
        <x:v>engineering_indicators显式观测</x:v>
      </x:c>
      <x:c r="K50" s="89" t="str">
        <x:v>未判定</x:v>
      </x:c>
      <x:c r="L50" s="89"/>
      <x:c r="M50" s="89"/>
      <x:c r="N50" s="89"/>
      <x:c r="O50" s="90"/>
      <x:c r="P50" s="89"/>
      <x:c r="Q50" s="89"/>
      <x:c r="R50" s="89" t="str">
        <x:v>未审核</x:v>
      </x:c>
      <x:c r="S50" s="88" t="str">
        <x:f>IF(K50="未判定","未判定",IF(K50="不适用",IF(L50="","缺少不适用依据","已关闭"),IF(M50="","适用但缺值",IF(P50="","缺少来源",IF(Q50="","缺少填报人",IF(R50&lt;&gt;"已审核","待审核","完整"))))))</x:f>
        <x:v>未判定</x:v>
      </x:c>
      <x:c r="T50" s="88" t="str">
        <x:v>SY/T 6891.2-2020 表1 基础数据/运行维护、9.2、表4；AQ/T 3046-2013 9.1</x:v>
      </x:c>
    </x:row>
    <x:row r="51" ht="60" customHeight="1">
      <x:c r="A51" s="88" t="n">
        <x:v>47</x:v>
      </x:c>
      <x:c r="B51" s="88" t="str">
        <x:v>阀室、隔离、监控与泄漏检测</x:v>
      </x:c>
      <x:c r="C51" s="88" t="str">
        <x:v>valve_control.leak_detection_availability_fraction</x:v>
      </x:c>
      <x:c r="D51" s="88" t="str">
        <x:v>泄漏检测系统可用率</x:v>
      </x:c>
      <x:c r="E51" s="88" t="str">
        <x:v>segment</x:v>
      </x:c>
      <x:c r="F51" s="88" t="str">
        <x:v>number</x:v>
      </x:c>
      <x:c r="G51" s="88" t="str">
        <x:v>—</x:v>
      </x:c>
      <x:c r="H51" s="88" t="str">
        <x:v>DIRECT_MODEL_INPUT；CONSEQUENCE_MODEL_INPUT；FORMAL_RELEASE_GATE</x:v>
      </x:c>
      <x:c r="I51" s="88" t="str">
        <x:v>misoperation</x:v>
      </x:c>
      <x:c r="J51" s="88" t="str">
        <x:v>engineering_indicators显式观测</x:v>
      </x:c>
      <x:c r="K51" s="89" t="str">
        <x:v>未判定</x:v>
      </x:c>
      <x:c r="L51" s="89"/>
      <x:c r="M51" s="89"/>
      <x:c r="N51" s="89"/>
      <x:c r="O51" s="90"/>
      <x:c r="P51" s="89"/>
      <x:c r="Q51" s="89"/>
      <x:c r="R51" s="89" t="str">
        <x:v>未审核</x:v>
      </x:c>
      <x:c r="S51" s="88" t="str">
        <x:f>IF(K51="未判定","未判定",IF(K51="不适用",IF(L51="","缺少不适用依据","已关闭"),IF(M51="","适用但缺值",IF(P51="","缺少来源",IF(Q51="","缺少填报人",IF(R51&lt;&gt;"已审核","待审核","完整"))))))</x:f>
        <x:v>未判定</x:v>
      </x:c>
      <x:c r="T51" s="88" t="str">
        <x:v>SY/T 6891.2-2020 表1 基础数据/运行维护、9.2、表4；AQ/T 3046-2013 9.1</x:v>
      </x:c>
    </x:row>
    <x:row r="52" ht="60" customHeight="1">
      <x:c r="A52" s="88" t="n">
        <x:v>48</x:v>
      </x:c>
      <x:c r="B52" s="88" t="str">
        <x:v>阀室、隔离、监控与泄漏检测</x:v>
      </x:c>
      <x:c r="C52" s="88" t="str">
        <x:v>valve_control.pressure_alarm_available</x:v>
      </x:c>
      <x:c r="D52" s="88" t="str">
        <x:v>压力报警可用</x:v>
      </x:c>
      <x:c r="E52" s="88" t="str">
        <x:v>segment</x:v>
      </x:c>
      <x:c r="F52" s="88" t="str">
        <x:v>boolean</x:v>
      </x:c>
      <x:c r="G52" s="88" t="str">
        <x:v>—</x:v>
      </x:c>
      <x:c r="H52" s="88" t="str">
        <x:v>DIRECT_MODEL_INPUT；CONSEQUENCE_MODEL_INPUT；FORMAL_RELEASE_GATE</x:v>
      </x:c>
      <x:c r="I52" s="88" t="str">
        <x:v>misoperation</x:v>
      </x:c>
      <x:c r="J52" s="88" t="str">
        <x:v>engineering_indicators显式观测</x:v>
      </x:c>
      <x:c r="K52" s="89" t="str">
        <x:v>未判定</x:v>
      </x:c>
      <x:c r="L52" s="89"/>
      <x:c r="M52" s="89"/>
      <x:c r="N52" s="89"/>
      <x:c r="O52" s="90"/>
      <x:c r="P52" s="89"/>
      <x:c r="Q52" s="89"/>
      <x:c r="R52" s="89" t="str">
        <x:v>未审核</x:v>
      </x:c>
      <x:c r="S52" s="88" t="str">
        <x:f>IF(K52="未判定","未判定",IF(K52="不适用",IF(L52="","缺少不适用依据","已关闭"),IF(M52="","适用但缺值",IF(P52="","缺少来源",IF(Q52="","缺少填报人",IF(R52&lt;&gt;"已审核","待审核","完整"))))))</x:f>
        <x:v>未判定</x:v>
      </x:c>
      <x:c r="T52" s="88" t="str">
        <x:v>SY/T 6891.2-2020 表1 基础数据/运行维护、9.2、表4；AQ/T 3046-2013 9.1</x:v>
      </x:c>
    </x:row>
    <x:row r="53" ht="60" customHeight="1">
      <x:c r="A53" s="88" t="n">
        <x:v>49</x:v>
      </x:c>
      <x:c r="B53" s="88" t="str">
        <x:v>阀室、隔离、监控与泄漏检测</x:v>
      </x:c>
      <x:c r="C53" s="88" t="str">
        <x:v>valve_control.automatic_shutdown_available</x:v>
      </x:c>
      <x:c r="D53" s="88" t="str">
        <x:v>自动切断可用</x:v>
      </x:c>
      <x:c r="E53" s="88" t="str">
        <x:v>segment</x:v>
      </x:c>
      <x:c r="F53" s="88" t="str">
        <x:v>boolean</x:v>
      </x:c>
      <x:c r="G53" s="88" t="str">
        <x:v>—</x:v>
      </x:c>
      <x:c r="H53" s="88" t="str">
        <x:v>DIRECT_MODEL_INPUT；CONSEQUENCE_MODEL_INPUT；FORMAL_RELEASE_GATE</x:v>
      </x:c>
      <x:c r="I53" s="88" t="str">
        <x:v>misoperation</x:v>
      </x:c>
      <x:c r="J53" s="88" t="str">
        <x:v>engineering_indicators显式观测</x:v>
      </x:c>
      <x:c r="K53" s="89" t="str">
        <x:v>未判定</x:v>
      </x:c>
      <x:c r="L53" s="89"/>
      <x:c r="M53" s="89"/>
      <x:c r="N53" s="89"/>
      <x:c r="O53" s="90"/>
      <x:c r="P53" s="89"/>
      <x:c r="Q53" s="89"/>
      <x:c r="R53" s="89" t="str">
        <x:v>未审核</x:v>
      </x:c>
      <x:c r="S53" s="88" t="str">
        <x:f>IF(K53="未判定","未判定",IF(K53="不适用",IF(L53="","缺少不适用依据","已关闭"),IF(M53="","适用但缺值",IF(P53="","缺少来源",IF(Q53="","缺少填报人",IF(R53&lt;&gt;"已审核","待审核","完整"))))))</x:f>
        <x:v>未判定</x:v>
      </x:c>
      <x:c r="T53" s="88" t="str">
        <x:v>SY/T 6891.2-2020 表1 基础数据/运行维护、9.2、表4；AQ/T 3046-2013 9.1</x:v>
      </x:c>
    </x:row>
    <x:row r="54" ht="60" customHeight="1">
      <x:c r="A54" s="88" t="n">
        <x:v>50</x:v>
      </x:c>
      <x:c r="B54" s="88" t="str">
        <x:v>阀室、隔离、监控与泄漏检测</x:v>
      </x:c>
      <x:c r="C54" s="88" t="str">
        <x:v>valve_control.remote_control_available</x:v>
      </x:c>
      <x:c r="D54" s="88" t="str">
        <x:v>远程控制可用</x:v>
      </x:c>
      <x:c r="E54" s="88" t="str">
        <x:v>segment</x:v>
      </x:c>
      <x:c r="F54" s="88" t="str">
        <x:v>boolean</x:v>
      </x:c>
      <x:c r="G54" s="88" t="str">
        <x:v>—</x:v>
      </x:c>
      <x:c r="H54" s="88" t="str">
        <x:v>DIRECT_MODEL_INPUT；CONSEQUENCE_MODEL_INPUT；FORMAL_RELEASE_GATE</x:v>
      </x:c>
      <x:c r="I54" s="88" t="str">
        <x:v>misoperation</x:v>
      </x:c>
      <x:c r="J54" s="88" t="str">
        <x:v>engineering_indicators显式观测</x:v>
      </x:c>
      <x:c r="K54" s="89" t="str">
        <x:v>未判定</x:v>
      </x:c>
      <x:c r="L54" s="89"/>
      <x:c r="M54" s="89"/>
      <x:c r="N54" s="89"/>
      <x:c r="O54" s="90"/>
      <x:c r="P54" s="89"/>
      <x:c r="Q54" s="89"/>
      <x:c r="R54" s="89" t="str">
        <x:v>未审核</x:v>
      </x:c>
      <x:c r="S54" s="88" t="str">
        <x:f>IF(K54="未判定","未判定",IF(K54="不适用",IF(L54="","缺少不适用依据","已关闭"),IF(M54="","适用但缺值",IF(P54="","缺少来源",IF(Q54="","缺少填报人",IF(R54&lt;&gt;"已审核","待审核","完整"))))))</x:f>
        <x:v>未判定</x:v>
      </x:c>
      <x:c r="T54" s="88" t="str">
        <x:v>SY/T 6891.2-2020 表1 基础数据/运行维护、9.2、表4；AQ/T 3046-2013 9.1</x:v>
      </x:c>
    </x:row>
    <x:row r="55" ht="60" customHeight="1">
      <x:c r="A55" s="88" t="n">
        <x:v>51</x:v>
      </x:c>
      <x:c r="B55" s="88" t="str">
        <x:v>阀室、隔离、监控与泄漏检测</x:v>
      </x:c>
      <x:c r="C55" s="88" t="str">
        <x:v>valve_control.control_room_reliability</x:v>
      </x:c>
      <x:c r="D55" s="88" t="str">
        <x:v>控制室可靠性</x:v>
      </x:c>
      <x:c r="E55" s="88" t="str">
        <x:v>segment</x:v>
      </x:c>
      <x:c r="F55" s="88" t="str">
        <x:v>number</x:v>
      </x:c>
      <x:c r="G55" s="88" t="str">
        <x:v>—</x:v>
      </x:c>
      <x:c r="H55" s="88" t="str">
        <x:v>DIRECT_MODEL_INPUT；CONSEQUENCE_MODEL_INPUT；FORMAL_RELEASE_GATE</x:v>
      </x:c>
      <x:c r="I55" s="88" t="str">
        <x:v>misoperation</x:v>
      </x:c>
      <x:c r="J55" s="88" t="str">
        <x:v>engineering_indicators显式观测</x:v>
      </x:c>
      <x:c r="K55" s="89" t="str">
        <x:v>未判定</x:v>
      </x:c>
      <x:c r="L55" s="89"/>
      <x:c r="M55" s="89"/>
      <x:c r="N55" s="89"/>
      <x:c r="O55" s="90"/>
      <x:c r="P55" s="89"/>
      <x:c r="Q55" s="89"/>
      <x:c r="R55" s="89" t="str">
        <x:v>未审核</x:v>
      </x:c>
      <x:c r="S55" s="88" t="str">
        <x:f>IF(K55="未判定","未判定",IF(K55="不适用",IF(L55="","缺少不适用依据","已关闭"),IF(M55="","适用但缺值",IF(P55="","缺少来源",IF(Q55="","缺少填报人",IF(R55&lt;&gt;"已审核","待审核","完整"))))))</x:f>
        <x:v>未判定</x:v>
      </x:c>
      <x:c r="T55" s="88" t="str">
        <x:v>SY/T 6891.2-2020 表1 基础数据/运行维护、9.2、表4；AQ/T 3046-2013 9.1</x:v>
      </x:c>
    </x:row>
    <x:row r="56" ht="60" customHeight="1">
      <x:c r="A56" s="88" t="n">
        <x:v>52</x:v>
      </x:c>
      <x:c r="B56" s="88" t="str">
        <x:v>外腐蚀与阴极保护</x:v>
      </x:c>
      <x:c r="C56" s="88" t="str">
        <x:v>external_corrosion.coating_installation_year</x:v>
      </x:c>
      <x:c r="D56" s="88" t="str">
        <x:v>防腐层安装年份</x:v>
      </x:c>
      <x:c r="E56" s="88" t="str">
        <x:v>segment</x:v>
      </x:c>
      <x:c r="F56" s="88" t="str">
        <x:v>integer</x:v>
      </x:c>
      <x:c r="G56" s="88" t="str">
        <x:v>year</x:v>
      </x:c>
      <x:c r="H56" s="88" t="str">
        <x:v>CORRECTION_MODEL_CANDIDATE；STRUCTURAL_RELIABILITY_INPUT；SEGMENTATION</x:v>
      </x:c>
      <x:c r="I56" s="88" t="str">
        <x:v>external_corrosion；stress_corrosion_cracking</x:v>
      </x:c>
      <x:c r="J56" s="88" t="str">
        <x:v>engineering_indicators显式观测</x:v>
      </x:c>
      <x:c r="K56" s="89" t="str">
        <x:v>未判定</x:v>
      </x:c>
      <x:c r="L56" s="89"/>
      <x:c r="M56" s="89"/>
      <x:c r="N56" s="89"/>
      <x:c r="O56" s="90"/>
      <x:c r="P56" s="89"/>
      <x:c r="Q56" s="89"/>
      <x:c r="R56" s="89" t="str">
        <x:v>未审核</x:v>
      </x:c>
      <x:c r="S56" s="88" t="str">
        <x:f>IF(K56="未判定","未判定",IF(K56="不适用",IF(L56="","缺少不适用依据","已关闭"),IF(M56="","适用但缺值",IF(P56="","缺少来源",IF(Q56="","缺少填报人",IF(R56&lt;&gt;"已审核","待审核","完整"))))))</x:f>
        <x:v>未判定</x:v>
      </x:c>
      <x:c r="T56" s="88" t="str">
        <x:v>SY/T 6891.2-2020 表1 运行维护/检测评价、7、附录A-B；SY/T 6891.2-2020 表4 腐蚀</x:v>
      </x:c>
    </x:row>
    <x:row r="57" ht="60" customHeight="1">
      <x:c r="A57" s="88" t="n">
        <x:v>53</x:v>
      </x:c>
      <x:c r="B57" s="88" t="str">
        <x:v>外腐蚀与阴极保护</x:v>
      </x:c>
      <x:c r="C57" s="88" t="str">
        <x:v>external_corrosion.coating_condition_index</x:v>
      </x:c>
      <x:c r="D57" s="88" t="str">
        <x:v>防腐层状态指数</x:v>
      </x:c>
      <x:c r="E57" s="88" t="str">
        <x:v>segment</x:v>
      </x:c>
      <x:c r="F57" s="88" t="str">
        <x:v>number</x:v>
      </x:c>
      <x:c r="G57" s="88" t="str">
        <x:v>—</x:v>
      </x:c>
      <x:c r="H57" s="88" t="str">
        <x:v>CORRECTION_MODEL_CANDIDATE；STRUCTURAL_RELIABILITY_INPUT；SEGMENTATION</x:v>
      </x:c>
      <x:c r="I57" s="88" t="str">
        <x:v>external_corrosion；stress_corrosion_cracking</x:v>
      </x:c>
      <x:c r="J57" s="88" t="str">
        <x:v>engineering_indicators显式观测</x:v>
      </x:c>
      <x:c r="K57" s="89" t="str">
        <x:v>未判定</x:v>
      </x:c>
      <x:c r="L57" s="89"/>
      <x:c r="M57" s="89"/>
      <x:c r="N57" s="89"/>
      <x:c r="O57" s="90"/>
      <x:c r="P57" s="89"/>
      <x:c r="Q57" s="89"/>
      <x:c r="R57" s="89" t="str">
        <x:v>未审核</x:v>
      </x:c>
      <x:c r="S57" s="88" t="str">
        <x:f>IF(K57="未判定","未判定",IF(K57="不适用",IF(L57="","缺少不适用依据","已关闭"),IF(M57="","适用但缺值",IF(P57="","缺少来源",IF(Q57="","缺少填报人",IF(R57&lt;&gt;"已审核","待审核","完整"))))))</x:f>
        <x:v>未判定</x:v>
      </x:c>
      <x:c r="T57" s="88" t="str">
        <x:v>SY/T 6891.2-2020 表1 运行维护/检测评价、7、附录A-B；SY/T 6891.2-2020 表4 腐蚀</x:v>
      </x:c>
    </x:row>
    <x:row r="58" ht="60" customHeight="1">
      <x:c r="A58" s="88" t="n">
        <x:v>54</x:v>
      </x:c>
      <x:c r="B58" s="88" t="str">
        <x:v>外腐蚀与阴极保护</x:v>
      </x:c>
      <x:c r="C58" s="88" t="str">
        <x:v>external_corrosion.coating_defect_density_per_km</x:v>
      </x:c>
      <x:c r="D58" s="88" t="str">
        <x:v>防腐层缺陷密度</x:v>
      </x:c>
      <x:c r="E58" s="88" t="str">
        <x:v>segment</x:v>
      </x:c>
      <x:c r="F58" s="88" t="str">
        <x:v>number</x:v>
      </x:c>
      <x:c r="G58" s="88" t="str">
        <x:v>1/km</x:v>
      </x:c>
      <x:c r="H58" s="88" t="str">
        <x:v>CORRECTION_MODEL_CANDIDATE；STRUCTURAL_RELIABILITY_INPUT；SEGMENTATION</x:v>
      </x:c>
      <x:c r="I58" s="88" t="str">
        <x:v>external_corrosion；stress_corrosion_cracking</x:v>
      </x:c>
      <x:c r="J58" s="88" t="str">
        <x:v>engineering_indicators显式观测</x:v>
      </x:c>
      <x:c r="K58" s="89" t="str">
        <x:v>未判定</x:v>
      </x:c>
      <x:c r="L58" s="89"/>
      <x:c r="M58" s="89"/>
      <x:c r="N58" s="89"/>
      <x:c r="O58" s="90"/>
      <x:c r="P58" s="89"/>
      <x:c r="Q58" s="89"/>
      <x:c r="R58" s="89" t="str">
        <x:v>未审核</x:v>
      </x:c>
      <x:c r="S58" s="88" t="str">
        <x:f>IF(K58="未判定","未判定",IF(K58="不适用",IF(L58="","缺少不适用依据","已关闭"),IF(M58="","适用但缺值",IF(P58="","缺少来源",IF(Q58="","缺少填报人",IF(R58&lt;&gt;"已审核","待审核","完整"))))))</x:f>
        <x:v>未判定</x:v>
      </x:c>
      <x:c r="T58" s="88" t="str">
        <x:v>SY/T 6891.2-2020 表1 运行维护/检测评价、7、附录A-B；SY/T 6891.2-2020 表4 腐蚀</x:v>
      </x:c>
    </x:row>
    <x:row r="59" ht="60" customHeight="1">
      <x:c r="A59" s="88" t="n">
        <x:v>55</x:v>
      </x:c>
      <x:c r="B59" s="88" t="str">
        <x:v>外腐蚀与阴极保护</x:v>
      </x:c>
      <x:c r="C59" s="88" t="str">
        <x:v>external_corrosion.dcvg_acvg_severity_max</x:v>
      </x:c>
      <x:c r="D59" s="88" t="str">
        <x:v>DCVG/ACVG最大严重度</x:v>
      </x:c>
      <x:c r="E59" s="88" t="str">
        <x:v>segment</x:v>
      </x:c>
      <x:c r="F59" s="88" t="str">
        <x:v>number</x:v>
      </x:c>
      <x:c r="G59" s="88" t="str">
        <x:v>—</x:v>
      </x:c>
      <x:c r="H59" s="88" t="str">
        <x:v>CORRECTION_MODEL_CANDIDATE；STRUCTURAL_RELIABILITY_INPUT；SEGMENTATION</x:v>
      </x:c>
      <x:c r="I59" s="88" t="str">
        <x:v>external_corrosion；stress_corrosion_cracking</x:v>
      </x:c>
      <x:c r="J59" s="88" t="str">
        <x:v>engineering_indicators显式观测</x:v>
      </x:c>
      <x:c r="K59" s="89" t="str">
        <x:v>未判定</x:v>
      </x:c>
      <x:c r="L59" s="89"/>
      <x:c r="M59" s="89"/>
      <x:c r="N59" s="89"/>
      <x:c r="O59" s="90"/>
      <x:c r="P59" s="89"/>
      <x:c r="Q59" s="89"/>
      <x:c r="R59" s="89" t="str">
        <x:v>未审核</x:v>
      </x:c>
      <x:c r="S59" s="88" t="str">
        <x:f>IF(K59="未判定","未判定",IF(K59="不适用",IF(L59="","缺少不适用依据","已关闭"),IF(M59="","适用但缺值",IF(P59="","缺少来源",IF(Q59="","缺少填报人",IF(R59&lt;&gt;"已审核","待审核","完整"))))))</x:f>
        <x:v>未判定</x:v>
      </x:c>
      <x:c r="T59" s="88" t="str">
        <x:v>SY/T 6891.2-2020 表1 运行维护/检测评价、7、附录A-B；SY/T 6891.2-2020 表4 腐蚀</x:v>
      </x:c>
    </x:row>
    <x:row r="60" ht="60" customHeight="1">
      <x:c r="A60" s="88" t="n">
        <x:v>56</x:v>
      </x:c>
      <x:c r="B60" s="88" t="str">
        <x:v>外腐蚀与阴极保护</x:v>
      </x:c>
      <x:c r="C60" s="88" t="str">
        <x:v>external_corrosion.cp_on_potential_v</x:v>
      </x:c>
      <x:c r="D60" s="88" t="str">
        <x:v>通电电位</x:v>
      </x:c>
      <x:c r="E60" s="88" t="str">
        <x:v>segment</x:v>
      </x:c>
      <x:c r="F60" s="88" t="str">
        <x:v>number</x:v>
      </x:c>
      <x:c r="G60" s="88" t="str">
        <x:v>V</x:v>
      </x:c>
      <x:c r="H60" s="88" t="str">
        <x:v>CORRECTION_MODEL_CANDIDATE；STRUCTURAL_RELIABILITY_INPUT；SEGMENTATION</x:v>
      </x:c>
      <x:c r="I60" s="88" t="str">
        <x:v>external_corrosion；stress_corrosion_cracking</x:v>
      </x:c>
      <x:c r="J60" s="88" t="str">
        <x:v>engineering_indicators显式观测</x:v>
      </x:c>
      <x:c r="K60" s="89" t="str">
        <x:v>未判定</x:v>
      </x:c>
      <x:c r="L60" s="89"/>
      <x:c r="M60" s="89"/>
      <x:c r="N60" s="89"/>
      <x:c r="O60" s="90"/>
      <x:c r="P60" s="89"/>
      <x:c r="Q60" s="89"/>
      <x:c r="R60" s="89" t="str">
        <x:v>未审核</x:v>
      </x:c>
      <x:c r="S60" s="88" t="str">
        <x:f>IF(K60="未判定","未判定",IF(K60="不适用",IF(L60="","缺少不适用依据","已关闭"),IF(M60="","适用但缺值",IF(P60="","缺少来源",IF(Q60="","缺少填报人",IF(R60&lt;&gt;"已审核","待审核","完整"))))))</x:f>
        <x:v>未判定</x:v>
      </x:c>
      <x:c r="T60" s="88" t="str">
        <x:v>SY/T 6891.2-2020 表1 运行维护/检测评价、7、附录A-B；SY/T 6891.2-2020 表4 腐蚀</x:v>
      </x:c>
    </x:row>
    <x:row r="61" ht="60" customHeight="1">
      <x:c r="A61" s="88" t="n">
        <x:v>57</x:v>
      </x:c>
      <x:c r="B61" s="88" t="str">
        <x:v>外腐蚀与阴极保护</x:v>
      </x:c>
      <x:c r="C61" s="88" t="str">
        <x:v>external_corrosion.cp_protection_coverage_fraction</x:v>
      </x:c>
      <x:c r="D61" s="88" t="str">
        <x:v>阴极保护覆盖率</x:v>
      </x:c>
      <x:c r="E61" s="88" t="str">
        <x:v>segment</x:v>
      </x:c>
      <x:c r="F61" s="88" t="str">
        <x:v>number</x:v>
      </x:c>
      <x:c r="G61" s="88" t="str">
        <x:v>—</x:v>
      </x:c>
      <x:c r="H61" s="88" t="str">
        <x:v>CORRECTION_MODEL_CANDIDATE；STRUCTURAL_RELIABILITY_INPUT；SEGMENTATION</x:v>
      </x:c>
      <x:c r="I61" s="88" t="str">
        <x:v>external_corrosion；stress_corrosion_cracking</x:v>
      </x:c>
      <x:c r="J61" s="88" t="str">
        <x:v>engineering_indicators显式观测</x:v>
      </x:c>
      <x:c r="K61" s="89" t="str">
        <x:v>未判定</x:v>
      </x:c>
      <x:c r="L61" s="89"/>
      <x:c r="M61" s="89"/>
      <x:c r="N61" s="89"/>
      <x:c r="O61" s="90"/>
      <x:c r="P61" s="89"/>
      <x:c r="Q61" s="89"/>
      <x:c r="R61" s="89" t="str">
        <x:v>未审核</x:v>
      </x:c>
      <x:c r="S61" s="88" t="str">
        <x:f>IF(K61="未判定","未判定",IF(K61="不适用",IF(L61="","缺少不适用依据","已关闭"),IF(M61="","适用但缺值",IF(P61="","缺少来源",IF(Q61="","缺少填报人",IF(R61&lt;&gt;"已审核","待审核","完整"))))))</x:f>
        <x:v>未判定</x:v>
      </x:c>
      <x:c r="T61" s="88" t="str">
        <x:v>SY/T 6891.2-2020 表1 运行维护/检测评价、7、附录A-B；SY/T 6891.2-2020 表4 腐蚀</x:v>
      </x:c>
    </x:row>
    <x:row r="62" ht="60" customHeight="1">
      <x:c r="A62" s="88" t="n">
        <x:v>58</x:v>
      </x:c>
      <x:c r="B62" s="88" t="str">
        <x:v>外腐蚀与阴极保护</x:v>
      </x:c>
      <x:c r="C62" s="88" t="str">
        <x:v>external_corrosion.cp_out_of_range_fraction</x:v>
      </x:c>
      <x:c r="D62" s="88" t="str">
        <x:v>保护电位超限比例</x:v>
      </x:c>
      <x:c r="E62" s="88" t="str">
        <x:v>segment</x:v>
      </x:c>
      <x:c r="F62" s="88" t="str">
        <x:v>number</x:v>
      </x:c>
      <x:c r="G62" s="88" t="str">
        <x:v>—</x:v>
      </x:c>
      <x:c r="H62" s="88" t="str">
        <x:v>CORRECTION_MODEL_CANDIDATE；STRUCTURAL_RELIABILITY_INPUT；SEGMENTATION</x:v>
      </x:c>
      <x:c r="I62" s="88" t="str">
        <x:v>external_corrosion；stress_corrosion_cracking</x:v>
      </x:c>
      <x:c r="J62" s="88" t="str">
        <x:v>engineering_indicators显式观测</x:v>
      </x:c>
      <x:c r="K62" s="89" t="str">
        <x:v>未判定</x:v>
      </x:c>
      <x:c r="L62" s="89"/>
      <x:c r="M62" s="89"/>
      <x:c r="N62" s="89"/>
      <x:c r="O62" s="90"/>
      <x:c r="P62" s="89"/>
      <x:c r="Q62" s="89"/>
      <x:c r="R62" s="89" t="str">
        <x:v>未审核</x:v>
      </x:c>
      <x:c r="S62" s="88" t="str">
        <x:f>IF(K62="未判定","未判定",IF(K62="不适用",IF(L62="","缺少不适用依据","已关闭"),IF(M62="","适用但缺值",IF(P62="","缺少来源",IF(Q62="","缺少填报人",IF(R62&lt;&gt;"已审核","待审核","完整"))))))</x:f>
        <x:v>未判定</x:v>
      </x:c>
      <x:c r="T62" s="88" t="str">
        <x:v>SY/T 6891.2-2020 表1 运行维护/检测评价、7、附录A-B；SY/T 6891.2-2020 表4 腐蚀</x:v>
      </x:c>
    </x:row>
    <x:row r="63" ht="60" customHeight="1">
      <x:c r="A63" s="88" t="n">
        <x:v>59</x:v>
      </x:c>
      <x:c r="B63" s="88" t="str">
        <x:v>外腐蚀与阴极保护</x:v>
      </x:c>
      <x:c r="C63" s="88" t="str">
        <x:v>external_corrosion.cp_test_interval_days</x:v>
      </x:c>
      <x:c r="D63" s="88" t="str">
        <x:v>阴保测试周期</x:v>
      </x:c>
      <x:c r="E63" s="88" t="str">
        <x:v>segment</x:v>
      </x:c>
      <x:c r="F63" s="88" t="str">
        <x:v>number</x:v>
      </x:c>
      <x:c r="G63" s="88" t="str">
        <x:v>day</x:v>
      </x:c>
      <x:c r="H63" s="88" t="str">
        <x:v>CORRECTION_MODEL_CANDIDATE；STRUCTURAL_RELIABILITY_INPUT；SEGMENTATION</x:v>
      </x:c>
      <x:c r="I63" s="88" t="str">
        <x:v>external_corrosion；stress_corrosion_cracking</x:v>
      </x:c>
      <x:c r="J63" s="88" t="str">
        <x:v>engineering_indicators显式观测</x:v>
      </x:c>
      <x:c r="K63" s="89" t="str">
        <x:v>未判定</x:v>
      </x:c>
      <x:c r="L63" s="89"/>
      <x:c r="M63" s="89"/>
      <x:c r="N63" s="89"/>
      <x:c r="O63" s="90"/>
      <x:c r="P63" s="89"/>
      <x:c r="Q63" s="89"/>
      <x:c r="R63" s="89" t="str">
        <x:v>未审核</x:v>
      </x:c>
      <x:c r="S63" s="88" t="str">
        <x:f>IF(K63="未判定","未判定",IF(K63="不适用",IF(L63="","缺少不适用依据","已关闭"),IF(M63="","适用但缺值",IF(P63="","缺少来源",IF(Q63="","缺少填报人",IF(R63&lt;&gt;"已审核","待审核","完整"))))))</x:f>
        <x:v>未判定</x:v>
      </x:c>
      <x:c r="T63" s="88" t="str">
        <x:v>SY/T 6891.2-2020 表1 运行维护/检测评价、7、附录A-B；SY/T 6891.2-2020 表4 腐蚀</x:v>
      </x:c>
    </x:row>
    <x:row r="64" ht="60" customHeight="1">
      <x:c r="A64" s="88" t="n">
        <x:v>60</x:v>
      </x:c>
      <x:c r="B64" s="88" t="str">
        <x:v>外腐蚀与阴极保护</x:v>
      </x:c>
      <x:c r="C64" s="88" t="str">
        <x:v>external_corrosion.soil_ph</x:v>
      </x:c>
      <x:c r="D64" s="88" t="str">
        <x:v>土壤pH</x:v>
      </x:c>
      <x:c r="E64" s="88" t="str">
        <x:v>segment</x:v>
      </x:c>
      <x:c r="F64" s="88" t="str">
        <x:v>number</x:v>
      </x:c>
      <x:c r="G64" s="88" t="str">
        <x:v>—</x:v>
      </x:c>
      <x:c r="H64" s="88" t="str">
        <x:v>CORRECTION_MODEL_CANDIDATE；STRUCTURAL_RELIABILITY_INPUT；SEGMENTATION</x:v>
      </x:c>
      <x:c r="I64" s="88" t="str">
        <x:v>external_corrosion；stress_corrosion_cracking</x:v>
      </x:c>
      <x:c r="J64" s="88" t="str">
        <x:v>engineering_indicators显式观测</x:v>
      </x:c>
      <x:c r="K64" s="89" t="str">
        <x:v>未判定</x:v>
      </x:c>
      <x:c r="L64" s="89"/>
      <x:c r="M64" s="89"/>
      <x:c r="N64" s="89"/>
      <x:c r="O64" s="90"/>
      <x:c r="P64" s="89"/>
      <x:c r="Q64" s="89"/>
      <x:c r="R64" s="89" t="str">
        <x:v>未审核</x:v>
      </x:c>
      <x:c r="S64" s="88" t="str">
        <x:f>IF(K64="未判定","未判定",IF(K64="不适用",IF(L64="","缺少不适用依据","已关闭"),IF(M64="","适用但缺值",IF(P64="","缺少来源",IF(Q64="","缺少填报人",IF(R64&lt;&gt;"已审核","待审核","完整"))))))</x:f>
        <x:v>未判定</x:v>
      </x:c>
      <x:c r="T64" s="88" t="str">
        <x:v>SY/T 6891.2-2020 表1 运行维护/检测评价、7、附录A-B；SY/T 6891.2-2020 表4 腐蚀</x:v>
      </x:c>
    </x:row>
    <x:row r="65" ht="60" customHeight="1">
      <x:c r="A65" s="88" t="n">
        <x:v>61</x:v>
      </x:c>
      <x:c r="B65" s="88" t="str">
        <x:v>外腐蚀与阴极保护</x:v>
      </x:c>
      <x:c r="C65" s="88" t="str">
        <x:v>external_corrosion.soil_moisture_fraction</x:v>
      </x:c>
      <x:c r="D65" s="88" t="str">
        <x:v>土壤含水率</x:v>
      </x:c>
      <x:c r="E65" s="88" t="str">
        <x:v>segment</x:v>
      </x:c>
      <x:c r="F65" s="88" t="str">
        <x:v>number</x:v>
      </x:c>
      <x:c r="G65" s="88" t="str">
        <x:v>—</x:v>
      </x:c>
      <x:c r="H65" s="88" t="str">
        <x:v>CORRECTION_MODEL_CANDIDATE；STRUCTURAL_RELIABILITY_INPUT；SEGMENTATION</x:v>
      </x:c>
      <x:c r="I65" s="88" t="str">
        <x:v>external_corrosion；stress_corrosion_cracking</x:v>
      </x:c>
      <x:c r="J65" s="88" t="str">
        <x:v>engineering_indicators显式观测</x:v>
      </x:c>
      <x:c r="K65" s="89" t="str">
        <x:v>未判定</x:v>
      </x:c>
      <x:c r="L65" s="89"/>
      <x:c r="M65" s="89"/>
      <x:c r="N65" s="89"/>
      <x:c r="O65" s="90"/>
      <x:c r="P65" s="89"/>
      <x:c r="Q65" s="89"/>
      <x:c r="R65" s="89" t="str">
        <x:v>未审核</x:v>
      </x:c>
      <x:c r="S65" s="88" t="str">
        <x:f>IF(K65="未判定","未判定",IF(K65="不适用",IF(L65="","缺少不适用依据","已关闭"),IF(M65="","适用但缺值",IF(P65="","缺少来源",IF(Q65="","缺少填报人",IF(R65&lt;&gt;"已审核","待审核","完整"))))))</x:f>
        <x:v>未判定</x:v>
      </x:c>
      <x:c r="T65" s="88" t="str">
        <x:v>SY/T 6891.2-2020 表1 运行维护/检测评价、7、附录A-B；SY/T 6891.2-2020 表4 腐蚀</x:v>
      </x:c>
    </x:row>
    <x:row r="66" ht="60" customHeight="1">
      <x:c r="A66" s="88" t="n">
        <x:v>62</x:v>
      </x:c>
      <x:c r="B66" s="88" t="str">
        <x:v>外腐蚀与阴极保护</x:v>
      </x:c>
      <x:c r="C66" s="88" t="str">
        <x:v>external_corrosion.soil_chloride_mg_kg</x:v>
      </x:c>
      <x:c r="D66" s="88" t="str">
        <x:v>土壤氯离子</x:v>
      </x:c>
      <x:c r="E66" s="88" t="str">
        <x:v>segment</x:v>
      </x:c>
      <x:c r="F66" s="88" t="str">
        <x:v>number</x:v>
      </x:c>
      <x:c r="G66" s="88" t="str">
        <x:v>mg/kg</x:v>
      </x:c>
      <x:c r="H66" s="88" t="str">
        <x:v>CORRECTION_MODEL_CANDIDATE；STRUCTURAL_RELIABILITY_INPUT；SEGMENTATION</x:v>
      </x:c>
      <x:c r="I66" s="88" t="str">
        <x:v>external_corrosion；stress_corrosion_cracking</x:v>
      </x:c>
      <x:c r="J66" s="88" t="str">
        <x:v>engineering_indicators显式观测</x:v>
      </x:c>
      <x:c r="K66" s="89" t="str">
        <x:v>未判定</x:v>
      </x:c>
      <x:c r="L66" s="89"/>
      <x:c r="M66" s="89"/>
      <x:c r="N66" s="89"/>
      <x:c r="O66" s="90"/>
      <x:c r="P66" s="89"/>
      <x:c r="Q66" s="89"/>
      <x:c r="R66" s="89" t="str">
        <x:v>未审核</x:v>
      </x:c>
      <x:c r="S66" s="88" t="str">
        <x:f>IF(K66="未判定","未判定",IF(K66="不适用",IF(L66="","缺少不适用依据","已关闭"),IF(M66="","适用但缺值",IF(P66="","缺少来源",IF(Q66="","缺少填报人",IF(R66&lt;&gt;"已审核","待审核","完整"))))))</x:f>
        <x:v>未判定</x:v>
      </x:c>
      <x:c r="T66" s="88" t="str">
        <x:v>SY/T 6891.2-2020 表1 运行维护/检测评价、7、附录A-B；SY/T 6891.2-2020 表4 腐蚀</x:v>
      </x:c>
    </x:row>
    <x:row r="67" ht="60" customHeight="1">
      <x:c r="A67" s="88" t="n">
        <x:v>63</x:v>
      </x:c>
      <x:c r="B67" s="88" t="str">
        <x:v>外腐蚀与阴极保护</x:v>
      </x:c>
      <x:c r="C67" s="88" t="str">
        <x:v>external_corrosion.stray_current_detected</x:v>
      </x:c>
      <x:c r="D67" s="88" t="str">
        <x:v>杂散电流存在</x:v>
      </x:c>
      <x:c r="E67" s="88" t="str">
        <x:v>segment</x:v>
      </x:c>
      <x:c r="F67" s="88" t="str">
        <x:v>boolean</x:v>
      </x:c>
      <x:c r="G67" s="88" t="str">
        <x:v>—</x:v>
      </x:c>
      <x:c r="H67" s="88" t="str">
        <x:v>CORRECTION_MODEL_CANDIDATE；STRUCTURAL_RELIABILITY_INPUT；SEGMENTATION</x:v>
      </x:c>
      <x:c r="I67" s="88" t="str">
        <x:v>external_corrosion；stress_corrosion_cracking</x:v>
      </x:c>
      <x:c r="J67" s="88" t="str">
        <x:v>engineering_indicators显式观测</x:v>
      </x:c>
      <x:c r="K67" s="89" t="str">
        <x:v>未判定</x:v>
      </x:c>
      <x:c r="L67" s="89"/>
      <x:c r="M67" s="89"/>
      <x:c r="N67" s="89"/>
      <x:c r="O67" s="90"/>
      <x:c r="P67" s="89"/>
      <x:c r="Q67" s="89"/>
      <x:c r="R67" s="89" t="str">
        <x:v>未审核</x:v>
      </x:c>
      <x:c r="S67" s="88" t="str">
        <x:f>IF(K67="未判定","未判定",IF(K67="不适用",IF(L67="","缺少不适用依据","已关闭"),IF(M67="","适用但缺值",IF(P67="","缺少来源",IF(Q67="","缺少填报人",IF(R67&lt;&gt;"已审核","待审核","完整"))))))</x:f>
        <x:v>未判定</x:v>
      </x:c>
      <x:c r="T67" s="88" t="str">
        <x:v>SY/T 6891.2-2020 表1 运行维护/检测评价、7、附录A-B；SY/T 6891.2-2020 表4 腐蚀</x:v>
      </x:c>
    </x:row>
    <x:row r="68" ht="60" customHeight="1">
      <x:c r="A68" s="88" t="n">
        <x:v>64</x:v>
      </x:c>
      <x:c r="B68" s="88" t="str">
        <x:v>外腐蚀与阴极保护</x:v>
      </x:c>
      <x:c r="C68" s="88" t="str">
        <x:v>external_corrosion.ac_interference_voltage_v</x:v>
      </x:c>
      <x:c r="D68" s="88" t="str">
        <x:v>交流干扰电压</x:v>
      </x:c>
      <x:c r="E68" s="88" t="str">
        <x:v>segment</x:v>
      </x:c>
      <x:c r="F68" s="88" t="str">
        <x:v>number</x:v>
      </x:c>
      <x:c r="G68" s="88" t="str">
        <x:v>V</x:v>
      </x:c>
      <x:c r="H68" s="88" t="str">
        <x:v>CORRECTION_MODEL_CANDIDATE；STRUCTURAL_RELIABILITY_INPUT；SEGMENTATION</x:v>
      </x:c>
      <x:c r="I68" s="88" t="str">
        <x:v>external_corrosion；stress_corrosion_cracking</x:v>
      </x:c>
      <x:c r="J68" s="88" t="str">
        <x:v>engineering_indicators显式观测</x:v>
      </x:c>
      <x:c r="K68" s="89" t="str">
        <x:v>未判定</x:v>
      </x:c>
      <x:c r="L68" s="89"/>
      <x:c r="M68" s="89"/>
      <x:c r="N68" s="89"/>
      <x:c r="O68" s="90"/>
      <x:c r="P68" s="89"/>
      <x:c r="Q68" s="89"/>
      <x:c r="R68" s="89" t="str">
        <x:v>未审核</x:v>
      </x:c>
      <x:c r="S68" s="88" t="str">
        <x:f>IF(K68="未判定","未判定",IF(K68="不适用",IF(L68="","缺少不适用依据","已关闭"),IF(M68="","适用但缺值",IF(P68="","缺少来源",IF(Q68="","缺少填报人",IF(R68&lt;&gt;"已审核","待审核","完整"))))))</x:f>
        <x:v>未判定</x:v>
      </x:c>
      <x:c r="T68" s="88" t="str">
        <x:v>SY/T 6891.2-2020 表1 运行维护/检测评价、7、附录A-B；SY/T 6891.2-2020 表4 腐蚀</x:v>
      </x:c>
    </x:row>
    <x:row r="69" ht="60" customHeight="1">
      <x:c r="A69" s="88" t="n">
        <x:v>65</x:v>
      </x:c>
      <x:c r="B69" s="88" t="str">
        <x:v>内腐蚀与介质腐蚀性</x:v>
      </x:c>
      <x:c r="C69" s="88" t="str">
        <x:v>internal_corrosion.free_water_probability</x:v>
      </x:c>
      <x:c r="D69" s="88" t="str">
        <x:v>游离水出现概率</x:v>
      </x:c>
      <x:c r="E69" s="88" t="str">
        <x:v>segment</x:v>
      </x:c>
      <x:c r="F69" s="88" t="str">
        <x:v>number</x:v>
      </x:c>
      <x:c r="G69" s="88" t="str">
        <x:v>—</x:v>
      </x:c>
      <x:c r="H69" s="88" t="str">
        <x:v>CORRECTION_MODEL_CANDIDATE；STRUCTURAL_RELIABILITY_INPUT</x:v>
      </x:c>
      <x:c r="I69" s="88" t="str">
        <x:v>internal_corrosion</x:v>
      </x:c>
      <x:c r="J69" s="88" t="str">
        <x:v>engineering_indicators显式观测</x:v>
      </x:c>
      <x:c r="K69" s="89" t="str">
        <x:v>未判定</x:v>
      </x:c>
      <x:c r="L69" s="89"/>
      <x:c r="M69" s="89"/>
      <x:c r="N69" s="89"/>
      <x:c r="O69" s="90"/>
      <x:c r="P69" s="89"/>
      <x:c r="Q69" s="89"/>
      <x:c r="R69" s="89" t="str">
        <x:v>未审核</x:v>
      </x:c>
      <x:c r="S69" s="88" t="str">
        <x:f>IF(K69="未判定","未判定",IF(K69="不适用",IF(L69="","缺少不适用依据","已关闭"),IF(M69="","适用但缺值",IF(P69="","缺少来源",IF(Q69="","缺少填报人",IF(R69&lt;&gt;"已审核","待审核","完整"))))))</x:f>
        <x:v>未判定</x:v>
      </x:c>
      <x:c r="T69" s="88" t="str">
        <x:v>SY/T 6891.2-2020 表1 运行维护/检测评价、附录A-B；SY/T 6891.2-2020 表4 腐蚀</x:v>
      </x:c>
    </x:row>
    <x:row r="70" ht="60" customHeight="1">
      <x:c r="A70" s="88" t="n">
        <x:v>66</x:v>
      </x:c>
      <x:c r="B70" s="88" t="str">
        <x:v>内腐蚀与介质腐蚀性</x:v>
      </x:c>
      <x:c r="C70" s="88" t="str">
        <x:v>internal_corrosion.co2_partial_pressure_mpa</x:v>
      </x:c>
      <x:c r="D70" s="88" t="str">
        <x:v>二氧化碳分压</x:v>
      </x:c>
      <x:c r="E70" s="88" t="str">
        <x:v>segment</x:v>
      </x:c>
      <x:c r="F70" s="88" t="str">
        <x:v>number</x:v>
      </x:c>
      <x:c r="G70" s="88" t="str">
        <x:v>MPa</x:v>
      </x:c>
      <x:c r="H70" s="88" t="str">
        <x:v>CORRECTION_MODEL_CANDIDATE；STRUCTURAL_RELIABILITY_INPUT</x:v>
      </x:c>
      <x:c r="I70" s="88" t="str">
        <x:v>internal_corrosion</x:v>
      </x:c>
      <x:c r="J70" s="88" t="str">
        <x:v>engineering_indicators显式观测</x:v>
      </x:c>
      <x:c r="K70" s="89" t="str">
        <x:v>未判定</x:v>
      </x:c>
      <x:c r="L70" s="89"/>
      <x:c r="M70" s="89"/>
      <x:c r="N70" s="89"/>
      <x:c r="O70" s="90"/>
      <x:c r="P70" s="89"/>
      <x:c r="Q70" s="89"/>
      <x:c r="R70" s="89" t="str">
        <x:v>未审核</x:v>
      </x:c>
      <x:c r="S70" s="88" t="str">
        <x:f>IF(K70="未判定","未判定",IF(K70="不适用",IF(L70="","缺少不适用依据","已关闭"),IF(M70="","适用但缺值",IF(P70="","缺少来源",IF(Q70="","缺少填报人",IF(R70&lt;&gt;"已审核","待审核","完整"))))))</x:f>
        <x:v>未判定</x:v>
      </x:c>
      <x:c r="T70" s="88" t="str">
        <x:v>SY/T 6891.2-2020 表1 运行维护/检测评价、附录A-B；SY/T 6891.2-2020 表4 腐蚀</x:v>
      </x:c>
    </x:row>
    <x:row r="71" ht="60" customHeight="1">
      <x:c r="A71" s="88" t="n">
        <x:v>67</x:v>
      </x:c>
      <x:c r="B71" s="88" t="str">
        <x:v>内腐蚀与介质腐蚀性</x:v>
      </x:c>
      <x:c r="C71" s="88" t="str">
        <x:v>internal_corrosion.h2s_partial_pressure_mpa</x:v>
      </x:c>
      <x:c r="D71" s="88" t="str">
        <x:v>硫化氢分压</x:v>
      </x:c>
      <x:c r="E71" s="88" t="str">
        <x:v>segment</x:v>
      </x:c>
      <x:c r="F71" s="88" t="str">
        <x:v>number</x:v>
      </x:c>
      <x:c r="G71" s="88" t="str">
        <x:v>MPa</x:v>
      </x:c>
      <x:c r="H71" s="88" t="str">
        <x:v>CORRECTION_MODEL_CANDIDATE；STRUCTURAL_RELIABILITY_INPUT</x:v>
      </x:c>
      <x:c r="I71" s="88" t="str">
        <x:v>internal_corrosion</x:v>
      </x:c>
      <x:c r="J71" s="88" t="str">
        <x:v>engineering_indicators显式观测</x:v>
      </x:c>
      <x:c r="K71" s="89" t="str">
        <x:v>未判定</x:v>
      </x:c>
      <x:c r="L71" s="89"/>
      <x:c r="M71" s="89"/>
      <x:c r="N71" s="89"/>
      <x:c r="O71" s="90"/>
      <x:c r="P71" s="89"/>
      <x:c r="Q71" s="89"/>
      <x:c r="R71" s="89" t="str">
        <x:v>未审核</x:v>
      </x:c>
      <x:c r="S71" s="88" t="str">
        <x:f>IF(K71="未判定","未判定",IF(K71="不适用",IF(L71="","缺少不适用依据","已关闭"),IF(M71="","适用但缺值",IF(P71="","缺少来源",IF(Q71="","缺少填报人",IF(R71&lt;&gt;"已审核","待审核","完整"))))))</x:f>
        <x:v>未判定</x:v>
      </x:c>
      <x:c r="T71" s="88" t="str">
        <x:v>SY/T 6891.2-2020 表1 运行维护/检测评价、附录A-B；SY/T 6891.2-2020 表4 腐蚀</x:v>
      </x:c>
    </x:row>
    <x:row r="72" ht="60" customHeight="1">
      <x:c r="A72" s="88" t="n">
        <x:v>68</x:v>
      </x:c>
      <x:c r="B72" s="88" t="str">
        <x:v>内腐蚀与介质腐蚀性</x:v>
      </x:c>
      <x:c r="C72" s="88" t="str">
        <x:v>internal_corrosion.chloride_concentration_mg_l</x:v>
      </x:c>
      <x:c r="D72" s="88" t="str">
        <x:v>液相氯离子浓度</x:v>
      </x:c>
      <x:c r="E72" s="88" t="str">
        <x:v>segment</x:v>
      </x:c>
      <x:c r="F72" s="88" t="str">
        <x:v>number</x:v>
      </x:c>
      <x:c r="G72" s="88" t="str">
        <x:v>mg/L</x:v>
      </x:c>
      <x:c r="H72" s="88" t="str">
        <x:v>CORRECTION_MODEL_CANDIDATE；STRUCTURAL_RELIABILITY_INPUT</x:v>
      </x:c>
      <x:c r="I72" s="88" t="str">
        <x:v>internal_corrosion</x:v>
      </x:c>
      <x:c r="J72" s="88" t="str">
        <x:v>engineering_indicators显式观测</x:v>
      </x:c>
      <x:c r="K72" s="89" t="str">
        <x:v>未判定</x:v>
      </x:c>
      <x:c r="L72" s="89"/>
      <x:c r="M72" s="89"/>
      <x:c r="N72" s="89"/>
      <x:c r="O72" s="90"/>
      <x:c r="P72" s="89"/>
      <x:c r="Q72" s="89"/>
      <x:c r="R72" s="89" t="str">
        <x:v>未审核</x:v>
      </x:c>
      <x:c r="S72" s="88" t="str">
        <x:f>IF(K72="未判定","未判定",IF(K72="不适用",IF(L72="","缺少不适用依据","已关闭"),IF(M72="","适用但缺值",IF(P72="","缺少来源",IF(Q72="","缺少填报人",IF(R72&lt;&gt;"已审核","待审核","完整"))))))</x:f>
        <x:v>未判定</x:v>
      </x:c>
      <x:c r="T72" s="88" t="str">
        <x:v>SY/T 6891.2-2020 表1 运行维护/检测评价、附录A-B；SY/T 6891.2-2020 表4 腐蚀</x:v>
      </x:c>
    </x:row>
    <x:row r="73" ht="60" customHeight="1">
      <x:c r="A73" s="88" t="n">
        <x:v>69</x:v>
      </x:c>
      <x:c r="B73" s="88" t="str">
        <x:v>内腐蚀与介质腐蚀性</x:v>
      </x:c>
      <x:c r="C73" s="88" t="str">
        <x:v>internal_corrosion.liquid_ph</x:v>
      </x:c>
      <x:c r="D73" s="88" t="str">
        <x:v>液相pH</x:v>
      </x:c>
      <x:c r="E73" s="88" t="str">
        <x:v>segment</x:v>
      </x:c>
      <x:c r="F73" s="88" t="str">
        <x:v>number</x:v>
      </x:c>
      <x:c r="G73" s="88" t="str">
        <x:v>—</x:v>
      </x:c>
      <x:c r="H73" s="88" t="str">
        <x:v>CORRECTION_MODEL_CANDIDATE；STRUCTURAL_RELIABILITY_INPUT</x:v>
      </x:c>
      <x:c r="I73" s="88" t="str">
        <x:v>internal_corrosion</x:v>
      </x:c>
      <x:c r="J73" s="88" t="str">
        <x:v>engineering_indicators显式观测</x:v>
      </x:c>
      <x:c r="K73" s="89" t="str">
        <x:v>未判定</x:v>
      </x:c>
      <x:c r="L73" s="89"/>
      <x:c r="M73" s="89"/>
      <x:c r="N73" s="89"/>
      <x:c r="O73" s="90"/>
      <x:c r="P73" s="89"/>
      <x:c r="Q73" s="89"/>
      <x:c r="R73" s="89" t="str">
        <x:v>未审核</x:v>
      </x:c>
      <x:c r="S73" s="88" t="str">
        <x:f>IF(K73="未判定","未判定",IF(K73="不适用",IF(L73="","缺少不适用依据","已关闭"),IF(M73="","适用但缺值",IF(P73="","缺少来源",IF(Q73="","缺少填报人",IF(R73&lt;&gt;"已审核","待审核","完整"))))))</x:f>
        <x:v>未判定</x:v>
      </x:c>
      <x:c r="T73" s="88" t="str">
        <x:v>SY/T 6891.2-2020 表1 运行维护/检测评价、附录A-B；SY/T 6891.2-2020 表4 腐蚀</x:v>
      </x:c>
    </x:row>
    <x:row r="74" ht="60" customHeight="1">
      <x:c r="A74" s="88" t="n">
        <x:v>70</x:v>
      </x:c>
      <x:c r="B74" s="88" t="str">
        <x:v>内腐蚀与介质腐蚀性</x:v>
      </x:c>
      <x:c r="C74" s="88" t="str">
        <x:v>internal_corrosion.microbial_activity_detected</x:v>
      </x:c>
      <x:c r="D74" s="88" t="str">
        <x:v>微生物腐蚀迹象</x:v>
      </x:c>
      <x:c r="E74" s="88" t="str">
        <x:v>segment</x:v>
      </x:c>
      <x:c r="F74" s="88" t="str">
        <x:v>boolean</x:v>
      </x:c>
      <x:c r="G74" s="88" t="str">
        <x:v>—</x:v>
      </x:c>
      <x:c r="H74" s="88" t="str">
        <x:v>CORRECTION_MODEL_CANDIDATE；STRUCTURAL_RELIABILITY_INPUT</x:v>
      </x:c>
      <x:c r="I74" s="88" t="str">
        <x:v>internal_corrosion</x:v>
      </x:c>
      <x:c r="J74" s="88" t="str">
        <x:v>engineering_indicators显式观测</x:v>
      </x:c>
      <x:c r="K74" s="89" t="str">
        <x:v>未判定</x:v>
      </x:c>
      <x:c r="L74" s="89"/>
      <x:c r="M74" s="89"/>
      <x:c r="N74" s="89"/>
      <x:c r="O74" s="90"/>
      <x:c r="P74" s="89"/>
      <x:c r="Q74" s="89"/>
      <x:c r="R74" s="89" t="str">
        <x:v>未审核</x:v>
      </x:c>
      <x:c r="S74" s="88" t="str">
        <x:f>IF(K74="未判定","未判定",IF(K74="不适用",IF(L74="","缺少不适用依据","已关闭"),IF(M74="","适用但缺值",IF(P74="","缺少来源",IF(Q74="","缺少填报人",IF(R74&lt;&gt;"已审核","待审核","完整"))))))</x:f>
        <x:v>未判定</x:v>
      </x:c>
      <x:c r="T74" s="88" t="str">
        <x:v>SY/T 6891.2-2020 表1 运行维护/检测评价、附录A-B；SY/T 6891.2-2020 表4 腐蚀</x:v>
      </x:c>
    </x:row>
    <x:row r="75" ht="60" customHeight="1">
      <x:c r="A75" s="88" t="n">
        <x:v>71</x:v>
      </x:c>
      <x:c r="B75" s="88" t="str">
        <x:v>内腐蚀与介质腐蚀性</x:v>
      </x:c>
      <x:c r="C75" s="88" t="str">
        <x:v>internal_corrosion.solid_deposit_detected</x:v>
      </x:c>
      <x:c r="D75" s="88" t="str">
        <x:v>固体沉积物存在</x:v>
      </x:c>
      <x:c r="E75" s="88" t="str">
        <x:v>segment</x:v>
      </x:c>
      <x:c r="F75" s="88" t="str">
        <x:v>boolean</x:v>
      </x:c>
      <x:c r="G75" s="88" t="str">
        <x:v>—</x:v>
      </x:c>
      <x:c r="H75" s="88" t="str">
        <x:v>CORRECTION_MODEL_CANDIDATE；STRUCTURAL_RELIABILITY_INPUT</x:v>
      </x:c>
      <x:c r="I75" s="88" t="str">
        <x:v>internal_corrosion</x:v>
      </x:c>
      <x:c r="J75" s="88" t="str">
        <x:v>engineering_indicators显式观测</x:v>
      </x:c>
      <x:c r="K75" s="89" t="str">
        <x:v>未判定</x:v>
      </x:c>
      <x:c r="L75" s="89"/>
      <x:c r="M75" s="89"/>
      <x:c r="N75" s="89"/>
      <x:c r="O75" s="90"/>
      <x:c r="P75" s="89"/>
      <x:c r="Q75" s="89"/>
      <x:c r="R75" s="89" t="str">
        <x:v>未审核</x:v>
      </x:c>
      <x:c r="S75" s="88" t="str">
        <x:f>IF(K75="未判定","未判定",IF(K75="不适用",IF(L75="","缺少不适用依据","已关闭"),IF(M75="","适用但缺值",IF(P75="","缺少来源",IF(Q75="","缺少填报人",IF(R75&lt;&gt;"已审核","待审核","完整"))))))</x:f>
        <x:v>未判定</x:v>
      </x:c>
      <x:c r="T75" s="88" t="str">
        <x:v>SY/T 6891.2-2020 表1 运行维护/检测评价、附录A-B；SY/T 6891.2-2020 表4 腐蚀</x:v>
      </x:c>
    </x:row>
    <x:row r="76" ht="60" customHeight="1">
      <x:c r="A76" s="88" t="n">
        <x:v>72</x:v>
      </x:c>
      <x:c r="B76" s="88" t="str">
        <x:v>内腐蚀与介质腐蚀性</x:v>
      </x:c>
      <x:c r="C76" s="88" t="str">
        <x:v>internal_corrosion.low_point_liquid_holdup</x:v>
      </x:c>
      <x:c r="D76" s="88" t="str">
        <x:v>低点积液</x:v>
      </x:c>
      <x:c r="E76" s="88" t="str">
        <x:v>segment</x:v>
      </x:c>
      <x:c r="F76" s="88" t="str">
        <x:v>boolean</x:v>
      </x:c>
      <x:c r="G76" s="88" t="str">
        <x:v>—</x:v>
      </x:c>
      <x:c r="H76" s="88" t="str">
        <x:v>CORRECTION_MODEL_CANDIDATE；STRUCTURAL_RELIABILITY_INPUT</x:v>
      </x:c>
      <x:c r="I76" s="88" t="str">
        <x:v>internal_corrosion</x:v>
      </x:c>
      <x:c r="J76" s="88" t="str">
        <x:v>engineering_indicators显式观测</x:v>
      </x:c>
      <x:c r="K76" s="89" t="str">
        <x:v>未判定</x:v>
      </x:c>
      <x:c r="L76" s="89"/>
      <x:c r="M76" s="89"/>
      <x:c r="N76" s="89"/>
      <x:c r="O76" s="90"/>
      <x:c r="P76" s="89"/>
      <x:c r="Q76" s="89"/>
      <x:c r="R76" s="89" t="str">
        <x:v>未审核</x:v>
      </x:c>
      <x:c r="S76" s="88" t="str">
        <x:f>IF(K76="未判定","未判定",IF(K76="不适用",IF(L76="","缺少不适用依据","已关闭"),IF(M76="","适用但缺值",IF(P76="","缺少来源",IF(Q76="","缺少填报人",IF(R76&lt;&gt;"已审核","待审核","完整"))))))</x:f>
        <x:v>未判定</x:v>
      </x:c>
      <x:c r="T76" s="88" t="str">
        <x:v>SY/T 6891.2-2020 表1 运行维护/检测评价、附录A-B；SY/T 6891.2-2020 表4 腐蚀</x:v>
      </x:c>
    </x:row>
    <x:row r="77" ht="60" customHeight="1">
      <x:c r="A77" s="88" t="n">
        <x:v>73</x:v>
      </x:c>
      <x:c r="B77" s="88" t="str">
        <x:v>内腐蚀与介质腐蚀性</x:v>
      </x:c>
      <x:c r="C77" s="88" t="str">
        <x:v>internal_corrosion.corrosion_inhibitor_used</x:v>
      </x:c>
      <x:c r="D77" s="88" t="str">
        <x:v>缓蚀剂使用</x:v>
      </x:c>
      <x:c r="E77" s="88" t="str">
        <x:v>segment</x:v>
      </x:c>
      <x:c r="F77" s="88" t="str">
        <x:v>boolean</x:v>
      </x:c>
      <x:c r="G77" s="88" t="str">
        <x:v>—</x:v>
      </x:c>
      <x:c r="H77" s="88" t="str">
        <x:v>CORRECTION_MODEL_CANDIDATE；STRUCTURAL_RELIABILITY_INPUT</x:v>
      </x:c>
      <x:c r="I77" s="88" t="str">
        <x:v>internal_corrosion</x:v>
      </x:c>
      <x:c r="J77" s="88" t="str">
        <x:v>engineering_indicators显式观测</x:v>
      </x:c>
      <x:c r="K77" s="89" t="str">
        <x:v>未判定</x:v>
      </x:c>
      <x:c r="L77" s="89"/>
      <x:c r="M77" s="89"/>
      <x:c r="N77" s="89"/>
      <x:c r="O77" s="90"/>
      <x:c r="P77" s="89"/>
      <x:c r="Q77" s="89"/>
      <x:c r="R77" s="89" t="str">
        <x:v>未审核</x:v>
      </x:c>
      <x:c r="S77" s="88" t="str">
        <x:f>IF(K77="未判定","未判定",IF(K77="不适用",IF(L77="","缺少不适用依据","已关闭"),IF(M77="","适用但缺值",IF(P77="","缺少来源",IF(Q77="","缺少填报人",IF(R77&lt;&gt;"已审核","待审核","完整"))))))</x:f>
        <x:v>未判定</x:v>
      </x:c>
      <x:c r="T77" s="88" t="str">
        <x:v>SY/T 6891.2-2020 表1 运行维护/检测评价、附录A-B；SY/T 6891.2-2020 表4 腐蚀</x:v>
      </x:c>
    </x:row>
    <x:row r="78" ht="60" customHeight="1">
      <x:c r="A78" s="88" t="n">
        <x:v>74</x:v>
      </x:c>
      <x:c r="B78" s="88" t="str">
        <x:v>内腐蚀与介质腐蚀性</x:v>
      </x:c>
      <x:c r="C78" s="88" t="str">
        <x:v>internal_corrosion.inhibitor_availability_fraction</x:v>
      </x:c>
      <x:c r="D78" s="88" t="str">
        <x:v>缓蚀剂有效投加率</x:v>
      </x:c>
      <x:c r="E78" s="88" t="str">
        <x:v>segment</x:v>
      </x:c>
      <x:c r="F78" s="88" t="str">
        <x:v>number</x:v>
      </x:c>
      <x:c r="G78" s="88" t="str">
        <x:v>—</x:v>
      </x:c>
      <x:c r="H78" s="88" t="str">
        <x:v>CORRECTION_MODEL_CANDIDATE；STRUCTURAL_RELIABILITY_INPUT</x:v>
      </x:c>
      <x:c r="I78" s="88" t="str">
        <x:v>internal_corrosion</x:v>
      </x:c>
      <x:c r="J78" s="88" t="str">
        <x:v>engineering_indicators显式观测</x:v>
      </x:c>
      <x:c r="K78" s="89" t="str">
        <x:v>未判定</x:v>
      </x:c>
      <x:c r="L78" s="89"/>
      <x:c r="M78" s="89"/>
      <x:c r="N78" s="89"/>
      <x:c r="O78" s="90"/>
      <x:c r="P78" s="89"/>
      <x:c r="Q78" s="89"/>
      <x:c r="R78" s="89" t="str">
        <x:v>未审核</x:v>
      </x:c>
      <x:c r="S78" s="88" t="str">
        <x:f>IF(K78="未判定","未判定",IF(K78="不适用",IF(L78="","缺少不适用依据","已关闭"),IF(M78="","适用但缺值",IF(P78="","缺少来源",IF(Q78="","缺少填报人",IF(R78&lt;&gt;"已审核","待审核","完整"))))))</x:f>
        <x:v>未判定</x:v>
      </x:c>
      <x:c r="T78" s="88" t="str">
        <x:v>SY/T 6891.2-2020 表1 运行维护/检测评价、附录A-B；SY/T 6891.2-2020 表4 腐蚀</x:v>
      </x:c>
    </x:row>
    <x:row r="79" ht="60" customHeight="1">
      <x:c r="A79" s="88" t="n">
        <x:v>75</x:v>
      </x:c>
      <x:c r="B79" s="88" t="str">
        <x:v>内腐蚀与介质腐蚀性</x:v>
      </x:c>
      <x:c r="C79" s="88" t="str">
        <x:v>internal_corrosion.pigging_interval_days</x:v>
      </x:c>
      <x:c r="D79" s="88" t="str">
        <x:v>清管周期</x:v>
      </x:c>
      <x:c r="E79" s="88" t="str">
        <x:v>segment</x:v>
      </x:c>
      <x:c r="F79" s="88" t="str">
        <x:v>number</x:v>
      </x:c>
      <x:c r="G79" s="88" t="str">
        <x:v>day</x:v>
      </x:c>
      <x:c r="H79" s="88" t="str">
        <x:v>CORRECTION_MODEL_CANDIDATE；STRUCTURAL_RELIABILITY_INPUT</x:v>
      </x:c>
      <x:c r="I79" s="88" t="str">
        <x:v>internal_corrosion</x:v>
      </x:c>
      <x:c r="J79" s="88" t="str">
        <x:v>engineering_indicators显式观测</x:v>
      </x:c>
      <x:c r="K79" s="89" t="str">
        <x:v>未判定</x:v>
      </x:c>
      <x:c r="L79" s="89"/>
      <x:c r="M79" s="89"/>
      <x:c r="N79" s="89"/>
      <x:c r="O79" s="90"/>
      <x:c r="P79" s="89"/>
      <x:c r="Q79" s="89"/>
      <x:c r="R79" s="89" t="str">
        <x:v>未审核</x:v>
      </x:c>
      <x:c r="S79" s="88" t="str">
        <x:f>IF(K79="未判定","未判定",IF(K79="不适用",IF(L79="","缺少不适用依据","已关闭"),IF(M79="","适用但缺值",IF(P79="","缺少来源",IF(Q79="","缺少填报人",IF(R79&lt;&gt;"已审核","待审核","完整"))))))</x:f>
        <x:v>未判定</x:v>
      </x:c>
      <x:c r="T79" s="88" t="str">
        <x:v>SY/T 6891.2-2020 表1 运行维护/检测评价、附录A-B；SY/T 6891.2-2020 表4 腐蚀</x:v>
      </x:c>
    </x:row>
    <x:row r="80" ht="60" customHeight="1">
      <x:c r="A80" s="88" t="n">
        <x:v>76</x:v>
      </x:c>
      <x:c r="B80" s="88" t="str">
        <x:v>内腐蚀与介质腐蚀性</x:v>
      </x:c>
      <x:c r="C80" s="88" t="str">
        <x:v>internal_corrosion.coupon_corrosion_rate_mm_year</x:v>
      </x:c>
      <x:c r="D80" s="88" t="str">
        <x:v>挂片腐蚀速率</x:v>
      </x:c>
      <x:c r="E80" s="88" t="str">
        <x:v>segment</x:v>
      </x:c>
      <x:c r="F80" s="88" t="str">
        <x:v>number</x:v>
      </x:c>
      <x:c r="G80" s="88" t="str">
        <x:v>mm/year</x:v>
      </x:c>
      <x:c r="H80" s="88" t="str">
        <x:v>CORRECTION_MODEL_CANDIDATE；STRUCTURAL_RELIABILITY_INPUT</x:v>
      </x:c>
      <x:c r="I80" s="88" t="str">
        <x:v>internal_corrosion</x:v>
      </x:c>
      <x:c r="J80" s="88" t="str">
        <x:v>engineering_indicators显式观测</x:v>
      </x:c>
      <x:c r="K80" s="89" t="str">
        <x:v>未判定</x:v>
      </x:c>
      <x:c r="L80" s="89"/>
      <x:c r="M80" s="89"/>
      <x:c r="N80" s="89"/>
      <x:c r="O80" s="90"/>
      <x:c r="P80" s="89"/>
      <x:c r="Q80" s="89"/>
      <x:c r="R80" s="89" t="str">
        <x:v>未审核</x:v>
      </x:c>
      <x:c r="S80" s="88" t="str">
        <x:f>IF(K80="未判定","未判定",IF(K80="不适用",IF(L80="","缺少不适用依据","已关闭"),IF(M80="","适用但缺值",IF(P80="","缺少来源",IF(Q80="","缺少填报人",IF(R80&lt;&gt;"已审核","待审核","完整"))))))</x:f>
        <x:v>未判定</x:v>
      </x:c>
      <x:c r="T80" s="88" t="str">
        <x:v>SY/T 6891.2-2020 表1 运行维护/检测评价、附录A-B；SY/T 6891.2-2020 表4 腐蚀</x:v>
      </x:c>
    </x:row>
    <x:row r="81" ht="60" customHeight="1">
      <x:c r="A81" s="88" t="n">
        <x:v>77</x:v>
      </x:c>
      <x:c r="B81" s="88" t="str">
        <x:v>内腐蚀与介质腐蚀性</x:v>
      </x:c>
      <x:c r="C81" s="88" t="str">
        <x:v>internal_corrosion.probe_corrosion_rate_mm_year</x:v>
      </x:c>
      <x:c r="D81" s="88" t="str">
        <x:v>探针腐蚀速率</x:v>
      </x:c>
      <x:c r="E81" s="88" t="str">
        <x:v>segment</x:v>
      </x:c>
      <x:c r="F81" s="88" t="str">
        <x:v>number</x:v>
      </x:c>
      <x:c r="G81" s="88" t="str">
        <x:v>mm/year</x:v>
      </x:c>
      <x:c r="H81" s="88" t="str">
        <x:v>CORRECTION_MODEL_CANDIDATE；STRUCTURAL_RELIABILITY_INPUT</x:v>
      </x:c>
      <x:c r="I81" s="88" t="str">
        <x:v>internal_corrosion</x:v>
      </x:c>
      <x:c r="J81" s="88" t="str">
        <x:v>engineering_indicators显式观测</x:v>
      </x:c>
      <x:c r="K81" s="89" t="str">
        <x:v>未判定</x:v>
      </x:c>
      <x:c r="L81" s="89"/>
      <x:c r="M81" s="89"/>
      <x:c r="N81" s="89"/>
      <x:c r="O81" s="90"/>
      <x:c r="P81" s="89"/>
      <x:c r="Q81" s="89"/>
      <x:c r="R81" s="89" t="str">
        <x:v>未审核</x:v>
      </x:c>
      <x:c r="S81" s="88" t="str">
        <x:f>IF(K81="未判定","未判定",IF(K81="不适用",IF(L81="","缺少不适用依据","已关闭"),IF(M81="","适用但缺值",IF(P81="","缺少来源",IF(Q81="","缺少填报人",IF(R81&lt;&gt;"已审核","待审核","完整"))))))</x:f>
        <x:v>未判定</x:v>
      </x:c>
      <x:c r="T81" s="88" t="str">
        <x:v>SY/T 6891.2-2020 表1 运行维护/检测评价、附录A-B；SY/T 6891.2-2020 表4 腐蚀</x:v>
      </x:c>
    </x:row>
    <x:row r="82" ht="60" customHeight="1">
      <x:c r="A82" s="88" t="n">
        <x:v>78</x:v>
      </x:c>
      <x:c r="B82" s="88" t="str">
        <x:v>内腐蚀与介质腐蚀性</x:v>
      </x:c>
      <x:c r="C82" s="88" t="str">
        <x:v>internal_corrosion.internal_corrosion_leak_history_count</x:v>
      </x:c>
      <x:c r="D82" s="88" t="str">
        <x:v>内腐蚀泄漏历史次数</x:v>
      </x:c>
      <x:c r="E82" s="88" t="str">
        <x:v>segment</x:v>
      </x:c>
      <x:c r="F82" s="88" t="str">
        <x:v>integer</x:v>
      </x:c>
      <x:c r="G82" s="88" t="str">
        <x:v>count</x:v>
      </x:c>
      <x:c r="H82" s="88" t="str">
        <x:v>CORRECTION_MODEL_CANDIDATE；STRUCTURAL_RELIABILITY_INPUT</x:v>
      </x:c>
      <x:c r="I82" s="88" t="str">
        <x:v>internal_corrosion</x:v>
      </x:c>
      <x:c r="J82" s="88" t="str">
        <x:v>engineering_indicators显式观测</x:v>
      </x:c>
      <x:c r="K82" s="89" t="str">
        <x:v>未判定</x:v>
      </x:c>
      <x:c r="L82" s="89"/>
      <x:c r="M82" s="89"/>
      <x:c r="N82" s="89"/>
      <x:c r="O82" s="90"/>
      <x:c r="P82" s="89"/>
      <x:c r="Q82" s="89"/>
      <x:c r="R82" s="89" t="str">
        <x:v>未审核</x:v>
      </x:c>
      <x:c r="S82" s="88" t="str">
        <x:f>IF(K82="未判定","未判定",IF(K82="不适用",IF(L82="","缺少不适用依据","已关闭"),IF(M82="","适用但缺值",IF(P82="","缺少来源",IF(Q82="","缺少填报人",IF(R82&lt;&gt;"已审核","待审核","完整"))))))</x:f>
        <x:v>未判定</x:v>
      </x:c>
      <x:c r="T82" s="88" t="str">
        <x:v>SY/T 6891.2-2020 表1 运行维护/检测评价、附录A-B；SY/T 6891.2-2020 表4 腐蚀</x:v>
      </x:c>
    </x:row>
    <x:row r="83" ht="60" customHeight="1">
      <x:c r="A83" s="88" t="n">
        <x:v>79</x:v>
      </x:c>
      <x:c r="B83" s="88" t="str">
        <x:v>应力腐蚀开裂与疲劳</x:v>
      </x:c>
      <x:c r="C83" s="88" t="str">
        <x:v>scc_fatigue.scc_susceptible_coating</x:v>
      </x:c>
      <x:c r="D83" s="88" t="str">
        <x:v>SCC敏感防腐层</x:v>
      </x:c>
      <x:c r="E83" s="88" t="str">
        <x:v>segment</x:v>
      </x:c>
      <x:c r="F83" s="88" t="str">
        <x:v>boolean</x:v>
      </x:c>
      <x:c r="G83" s="88" t="str">
        <x:v>—</x:v>
      </x:c>
      <x:c r="H83" s="88" t="str">
        <x:v>CORRECTION_MODEL_CANDIDATE；STRUCTURAL_RELIABILITY_INPUT</x:v>
      </x:c>
      <x:c r="I83" s="88" t="str">
        <x:v>stress_corrosion_cracking</x:v>
      </x:c>
      <x:c r="J83" s="88" t="str">
        <x:v>engineering_indicators显式观测</x:v>
      </x:c>
      <x:c r="K83" s="89" t="str">
        <x:v>未判定</x:v>
      </x:c>
      <x:c r="L83" s="89"/>
      <x:c r="M83" s="89"/>
      <x:c r="N83" s="89"/>
      <x:c r="O83" s="90"/>
      <x:c r="P83" s="89"/>
      <x:c r="Q83" s="89"/>
      <x:c r="R83" s="89" t="str">
        <x:v>未审核</x:v>
      </x:c>
      <x:c r="S83" s="88" t="str">
        <x:f>IF(K83="未判定","未判定",IF(K83="不适用",IF(L83="","缺少不适用依据","已关闭"),IF(M83="","适用但缺值",IF(P83="","缺少来源",IF(Q83="","缺少填报人",IF(R83&lt;&gt;"已审核","待审核","完整"))))))</x:f>
        <x:v>未判定</x:v>
      </x:c>
      <x:c r="T83" s="88" t="str">
        <x:v>SY/T 6891.2-2020 8.2、附录A-B、表4 制造与施工缺陷/腐蚀</x:v>
      </x:c>
    </x:row>
    <x:row r="84" ht="60" customHeight="1">
      <x:c r="A84" s="88" t="n">
        <x:v>80</x:v>
      </x:c>
      <x:c r="B84" s="88" t="str">
        <x:v>应力腐蚀开裂与疲劳</x:v>
      </x:c>
      <x:c r="C84" s="88" t="str">
        <x:v>scc_fatigue.scc_susceptible_temperature</x:v>
      </x:c>
      <x:c r="D84" s="88" t="str">
        <x:v>SCC敏感温度条件</x:v>
      </x:c>
      <x:c r="E84" s="88" t="str">
        <x:v>segment</x:v>
      </x:c>
      <x:c r="F84" s="88" t="str">
        <x:v>boolean</x:v>
      </x:c>
      <x:c r="G84" s="88" t="str">
        <x:v>—</x:v>
      </x:c>
      <x:c r="H84" s="88" t="str">
        <x:v>CORRECTION_MODEL_CANDIDATE；STRUCTURAL_RELIABILITY_INPUT</x:v>
      </x:c>
      <x:c r="I84" s="88" t="str">
        <x:v>stress_corrosion_cracking</x:v>
      </x:c>
      <x:c r="J84" s="88" t="str">
        <x:v>engineering_indicators显式观测</x:v>
      </x:c>
      <x:c r="K84" s="89" t="str">
        <x:v>未判定</x:v>
      </x:c>
      <x:c r="L84" s="89"/>
      <x:c r="M84" s="89"/>
      <x:c r="N84" s="89"/>
      <x:c r="O84" s="90"/>
      <x:c r="P84" s="89"/>
      <x:c r="Q84" s="89"/>
      <x:c r="R84" s="89" t="str">
        <x:v>未审核</x:v>
      </x:c>
      <x:c r="S84" s="88" t="str">
        <x:f>IF(K84="未判定","未判定",IF(K84="不适用",IF(L84="","缺少不适用依据","已关闭"),IF(M84="","适用但缺值",IF(P84="","缺少来源",IF(Q84="","缺少填报人",IF(R84&lt;&gt;"已审核","待审核","完整"))))))</x:f>
        <x:v>未判定</x:v>
      </x:c>
      <x:c r="T84" s="88" t="str">
        <x:v>SY/T 6891.2-2020 8.2、附录A-B、表4 制造与施工缺陷/腐蚀</x:v>
      </x:c>
    </x:row>
    <x:row r="85" ht="60" customHeight="1">
      <x:c r="A85" s="88" t="n">
        <x:v>81</x:v>
      </x:c>
      <x:c r="B85" s="88" t="str">
        <x:v>应力腐蚀开裂与疲劳</x:v>
      </x:c>
      <x:c r="C85" s="88" t="str">
        <x:v>scc_fatigue.near_neutral_ph_scc_environment</x:v>
      </x:c>
      <x:c r="D85" s="88" t="str">
        <x:v>近中性pH SCC环境</x:v>
      </x:c>
      <x:c r="E85" s="88" t="str">
        <x:v>segment</x:v>
      </x:c>
      <x:c r="F85" s="88" t="str">
        <x:v>boolean</x:v>
      </x:c>
      <x:c r="G85" s="88" t="str">
        <x:v>—</x:v>
      </x:c>
      <x:c r="H85" s="88" t="str">
        <x:v>CORRECTION_MODEL_CANDIDATE；STRUCTURAL_RELIABILITY_INPUT</x:v>
      </x:c>
      <x:c r="I85" s="88" t="str">
        <x:v>stress_corrosion_cracking</x:v>
      </x:c>
      <x:c r="J85" s="88" t="str">
        <x:v>engineering_indicators显式观测</x:v>
      </x:c>
      <x:c r="K85" s="89" t="str">
        <x:v>未判定</x:v>
      </x:c>
      <x:c r="L85" s="89"/>
      <x:c r="M85" s="89"/>
      <x:c r="N85" s="89"/>
      <x:c r="O85" s="90"/>
      <x:c r="P85" s="89"/>
      <x:c r="Q85" s="89"/>
      <x:c r="R85" s="89" t="str">
        <x:v>未审核</x:v>
      </x:c>
      <x:c r="S85" s="88" t="str">
        <x:f>IF(K85="未判定","未判定",IF(K85="不适用",IF(L85="","缺少不适用依据","已关闭"),IF(M85="","适用但缺值",IF(P85="","缺少来源",IF(Q85="","缺少填报人",IF(R85&lt;&gt;"已审核","待审核","完整"))))))</x:f>
        <x:v>未判定</x:v>
      </x:c>
      <x:c r="T85" s="88" t="str">
        <x:v>SY/T 6891.2-2020 8.2、附录A-B、表4 制造与施工缺陷/腐蚀</x:v>
      </x:c>
    </x:row>
    <x:row r="86" ht="60" customHeight="1">
      <x:c r="A86" s="88" t="n">
        <x:v>82</x:v>
      </x:c>
      <x:c r="B86" s="88" t="str">
        <x:v>应力腐蚀开裂与疲劳</x:v>
      </x:c>
      <x:c r="C86" s="88" t="str">
        <x:v>scc_fatigue.high_ph_scc_environment</x:v>
      </x:c>
      <x:c r="D86" s="88" t="str">
        <x:v>高pH SCC环境</x:v>
      </x:c>
      <x:c r="E86" s="88" t="str">
        <x:v>segment</x:v>
      </x:c>
      <x:c r="F86" s="88" t="str">
        <x:v>boolean</x:v>
      </x:c>
      <x:c r="G86" s="88" t="str">
        <x:v>—</x:v>
      </x:c>
      <x:c r="H86" s="88" t="str">
        <x:v>CORRECTION_MODEL_CANDIDATE；STRUCTURAL_RELIABILITY_INPUT</x:v>
      </x:c>
      <x:c r="I86" s="88" t="str">
        <x:v>stress_corrosion_cracking</x:v>
      </x:c>
      <x:c r="J86" s="88" t="str">
        <x:v>engineering_indicators显式观测</x:v>
      </x:c>
      <x:c r="K86" s="89" t="str">
        <x:v>未判定</x:v>
      </x:c>
      <x:c r="L86" s="89"/>
      <x:c r="M86" s="89"/>
      <x:c r="N86" s="89"/>
      <x:c r="O86" s="90"/>
      <x:c r="P86" s="89"/>
      <x:c r="Q86" s="89"/>
      <x:c r="R86" s="89" t="str">
        <x:v>未审核</x:v>
      </x:c>
      <x:c r="S86" s="88" t="str">
        <x:f>IF(K86="未判定","未判定",IF(K86="不适用",IF(L86="","缺少不适用依据","已关闭"),IF(M86="","适用但缺值",IF(P86="","缺少来源",IF(Q86="","缺少填报人",IF(R86&lt;&gt;"已审核","待审核","完整"))))))</x:f>
        <x:v>未判定</x:v>
      </x:c>
      <x:c r="T86" s="88" t="str">
        <x:v>SY/T 6891.2-2020 8.2、附录A-B、表4 制造与施工缺陷/腐蚀</x:v>
      </x:c>
    </x:row>
    <x:row r="87" ht="60" customHeight="1">
      <x:c r="A87" s="88" t="n">
        <x:v>83</x:v>
      </x:c>
      <x:c r="B87" s="88" t="str">
        <x:v>应力腐蚀开裂与疲劳</x:v>
      </x:c>
      <x:c r="C87" s="88" t="str">
        <x:v>scc_fatigue.stress_level_fraction_smys</x:v>
      </x:c>
      <x:c r="D87" s="88" t="str">
        <x:v>运行应力占SMYS比例</x:v>
      </x:c>
      <x:c r="E87" s="88" t="str">
        <x:v>segment</x:v>
      </x:c>
      <x:c r="F87" s="88" t="str">
        <x:v>number</x:v>
      </x:c>
      <x:c r="G87" s="88" t="str">
        <x:v>—</x:v>
      </x:c>
      <x:c r="H87" s="88" t="str">
        <x:v>CORRECTION_MODEL_CANDIDATE；STRUCTURAL_RELIABILITY_INPUT</x:v>
      </x:c>
      <x:c r="I87" s="88" t="str">
        <x:v>stress_corrosion_cracking</x:v>
      </x:c>
      <x:c r="J87" s="88" t="str">
        <x:v>engineering_indicators显式观测</x:v>
      </x:c>
      <x:c r="K87" s="89" t="str">
        <x:v>未判定</x:v>
      </x:c>
      <x:c r="L87" s="89"/>
      <x:c r="M87" s="89"/>
      <x:c r="N87" s="89"/>
      <x:c r="O87" s="90"/>
      <x:c r="P87" s="89"/>
      <x:c r="Q87" s="89"/>
      <x:c r="R87" s="89" t="str">
        <x:v>未审核</x:v>
      </x:c>
      <x:c r="S87" s="88" t="str">
        <x:f>IF(K87="未判定","未判定",IF(K87="不适用",IF(L87="","缺少不适用依据","已关闭"),IF(M87="","适用但缺值",IF(P87="","缺少来源",IF(Q87="","缺少填报人",IF(R87&lt;&gt;"已审核","待审核","完整"))))))</x:f>
        <x:v>未判定</x:v>
      </x:c>
      <x:c r="T87" s="88" t="str">
        <x:v>SY/T 6891.2-2020 8.2、附录A-B、表4 制造与施工缺陷/腐蚀</x:v>
      </x:c>
    </x:row>
    <x:row r="88" ht="60" customHeight="1">
      <x:c r="A88" s="88" t="n">
        <x:v>84</x:v>
      </x:c>
      <x:c r="B88" s="88" t="str">
        <x:v>应力腐蚀开裂与疲劳</x:v>
      </x:c>
      <x:c r="C88" s="88" t="str">
        <x:v>scc_fatigue.pressure_fluctuation_index</x:v>
      </x:c>
      <x:c r="D88" s="88" t="str">
        <x:v>压力波动指数</x:v>
      </x:c>
      <x:c r="E88" s="88" t="str">
        <x:v>segment</x:v>
      </x:c>
      <x:c r="F88" s="88" t="str">
        <x:v>number</x:v>
      </x:c>
      <x:c r="G88" s="88" t="str">
        <x:v>—</x:v>
      </x:c>
      <x:c r="H88" s="88" t="str">
        <x:v>CORRECTION_MODEL_CANDIDATE；STRUCTURAL_RELIABILITY_INPUT</x:v>
      </x:c>
      <x:c r="I88" s="88" t="str">
        <x:v>stress_corrosion_cracking</x:v>
      </x:c>
      <x:c r="J88" s="88" t="str">
        <x:v>engineering_indicators显式观测</x:v>
      </x:c>
      <x:c r="K88" s="89" t="str">
        <x:v>未判定</x:v>
      </x:c>
      <x:c r="L88" s="89"/>
      <x:c r="M88" s="89"/>
      <x:c r="N88" s="89"/>
      <x:c r="O88" s="90"/>
      <x:c r="P88" s="89"/>
      <x:c r="Q88" s="89"/>
      <x:c r="R88" s="89" t="str">
        <x:v>未审核</x:v>
      </x:c>
      <x:c r="S88" s="88" t="str">
        <x:f>IF(K88="未判定","未判定",IF(K88="不适用",IF(L88="","缺少不适用依据","已关闭"),IF(M88="","适用但缺值",IF(P88="","缺少来源",IF(Q88="","缺少填报人",IF(R88&lt;&gt;"已审核","待审核","完整"))))))</x:f>
        <x:v>未判定</x:v>
      </x:c>
      <x:c r="T88" s="88" t="str">
        <x:v>SY/T 6891.2-2020 8.2、附录A-B、表4 制造与施工缺陷/腐蚀</x:v>
      </x:c>
    </x:row>
    <x:row r="89" ht="60" customHeight="1">
      <x:c r="A89" s="88" t="n">
        <x:v>85</x:v>
      </x:c>
      <x:c r="B89" s="88" t="str">
        <x:v>应力腐蚀开裂与疲劳</x:v>
      </x:c>
      <x:c r="C89" s="88" t="str">
        <x:v>scc_fatigue.crack_ili_coverage_fraction</x:v>
      </x:c>
      <x:c r="D89" s="88" t="str">
        <x:v>裂纹内检测覆盖率</x:v>
      </x:c>
      <x:c r="E89" s="88" t="str">
        <x:v>segment</x:v>
      </x:c>
      <x:c r="F89" s="88" t="str">
        <x:v>number</x:v>
      </x:c>
      <x:c r="G89" s="88" t="str">
        <x:v>—</x:v>
      </x:c>
      <x:c r="H89" s="88" t="str">
        <x:v>CORRECTION_MODEL_CANDIDATE；STRUCTURAL_RELIABILITY_INPUT</x:v>
      </x:c>
      <x:c r="I89" s="88" t="str">
        <x:v>stress_corrosion_cracking</x:v>
      </x:c>
      <x:c r="J89" s="88" t="str">
        <x:v>engineering_indicators显式观测</x:v>
      </x:c>
      <x:c r="K89" s="89" t="str">
        <x:v>未判定</x:v>
      </x:c>
      <x:c r="L89" s="89"/>
      <x:c r="M89" s="89"/>
      <x:c r="N89" s="89"/>
      <x:c r="O89" s="90"/>
      <x:c r="P89" s="89"/>
      <x:c r="Q89" s="89"/>
      <x:c r="R89" s="89" t="str">
        <x:v>未审核</x:v>
      </x:c>
      <x:c r="S89" s="88" t="str">
        <x:f>IF(K89="未判定","未判定",IF(K89="不适用",IF(L89="","缺少不适用依据","已关闭"),IF(M89="","适用但缺值",IF(P89="","缺少来源",IF(Q89="","缺少填报人",IF(R89&lt;&gt;"已审核","待审核","完整"))))))</x:f>
        <x:v>未判定</x:v>
      </x:c>
      <x:c r="T89" s="88" t="str">
        <x:v>SY/T 6891.2-2020 8.2、附录A-B、表4 制造与施工缺陷/腐蚀</x:v>
      </x:c>
    </x:row>
    <x:row r="90" ht="60" customHeight="1">
      <x:c r="A90" s="88" t="n">
        <x:v>86</x:v>
      </x:c>
      <x:c r="B90" s="88" t="str">
        <x:v>应力腐蚀开裂与疲劳</x:v>
      </x:c>
      <x:c r="C90" s="88" t="str">
        <x:v>scc_fatigue.crack_indication_count_per_km</x:v>
      </x:c>
      <x:c r="D90" s="88" t="str">
        <x:v>裂纹指示密度</x:v>
      </x:c>
      <x:c r="E90" s="88" t="str">
        <x:v>segment</x:v>
      </x:c>
      <x:c r="F90" s="88" t="str">
        <x:v>number</x:v>
      </x:c>
      <x:c r="G90" s="88" t="str">
        <x:v>1/km</x:v>
      </x:c>
      <x:c r="H90" s="88" t="str">
        <x:v>CORRECTION_MODEL_CANDIDATE；STRUCTURAL_RELIABILITY_INPUT</x:v>
      </x:c>
      <x:c r="I90" s="88" t="str">
        <x:v>stress_corrosion_cracking</x:v>
      </x:c>
      <x:c r="J90" s="88" t="str">
        <x:v>engineering_indicators显式观测</x:v>
      </x:c>
      <x:c r="K90" s="89" t="str">
        <x:v>未判定</x:v>
      </x:c>
      <x:c r="L90" s="89"/>
      <x:c r="M90" s="89"/>
      <x:c r="N90" s="89"/>
      <x:c r="O90" s="90"/>
      <x:c r="P90" s="89"/>
      <x:c r="Q90" s="89"/>
      <x:c r="R90" s="89" t="str">
        <x:v>未审核</x:v>
      </x:c>
      <x:c r="S90" s="88" t="str">
        <x:f>IF(K90="未判定","未判定",IF(K90="不适用",IF(L90="","缺少不适用依据","已关闭"),IF(M90="","适用但缺值",IF(P90="","缺少来源",IF(Q90="","缺少填报人",IF(R90&lt;&gt;"已审核","待审核","完整"))))))</x:f>
        <x:v>未判定</x:v>
      </x:c>
      <x:c r="T90" s="88" t="str">
        <x:v>SY/T 6891.2-2020 8.2、附录A-B、表4 制造与施工缺陷/腐蚀</x:v>
      </x:c>
    </x:row>
    <x:row r="91" ht="60" customHeight="1">
      <x:c r="A91" s="88" t="n">
        <x:v>87</x:v>
      </x:c>
      <x:c r="B91" s="88" t="str">
        <x:v>应力腐蚀开裂与疲劳</x:v>
      </x:c>
      <x:c r="C91" s="88" t="str">
        <x:v>scc_fatigue.maximum_crack_depth_ratio</x:v>
      </x:c>
      <x:c r="D91" s="88" t="str">
        <x:v>最大裂纹深度比</x:v>
      </x:c>
      <x:c r="E91" s="88" t="str">
        <x:v>segment</x:v>
      </x:c>
      <x:c r="F91" s="88" t="str">
        <x:v>number</x:v>
      </x:c>
      <x:c r="G91" s="88" t="str">
        <x:v>—</x:v>
      </x:c>
      <x:c r="H91" s="88" t="str">
        <x:v>CORRECTION_MODEL_CANDIDATE；STRUCTURAL_RELIABILITY_INPUT</x:v>
      </x:c>
      <x:c r="I91" s="88" t="str">
        <x:v>stress_corrosion_cracking</x:v>
      </x:c>
      <x:c r="J91" s="88" t="str">
        <x:v>engineering_indicators显式观测</x:v>
      </x:c>
      <x:c r="K91" s="89" t="str">
        <x:v>未判定</x:v>
      </x:c>
      <x:c r="L91" s="89"/>
      <x:c r="M91" s="89"/>
      <x:c r="N91" s="89"/>
      <x:c r="O91" s="90"/>
      <x:c r="P91" s="89"/>
      <x:c r="Q91" s="89"/>
      <x:c r="R91" s="89" t="str">
        <x:v>未审核</x:v>
      </x:c>
      <x:c r="S91" s="88" t="str">
        <x:f>IF(K91="未判定","未判定",IF(K91="不适用",IF(L91="","缺少不适用依据","已关闭"),IF(M91="","适用但缺值",IF(P91="","缺少来源",IF(Q91="","缺少填报人",IF(R91&lt;&gt;"已审核","待审核","完整"))))))</x:f>
        <x:v>未判定</x:v>
      </x:c>
      <x:c r="T91" s="88" t="str">
        <x:v>SY/T 6891.2-2020 8.2、附录A-B、表4 制造与施工缺陷/腐蚀</x:v>
      </x:c>
    </x:row>
    <x:row r="92" ht="60" customHeight="1">
      <x:c r="A92" s="88" t="n">
        <x:v>88</x:v>
      </x:c>
      <x:c r="B92" s="88" t="str">
        <x:v>应力腐蚀开裂与疲劳</x:v>
      </x:c>
      <x:c r="C92" s="88" t="str">
        <x:v>scc_fatigue.maximum_crack_length_mm</x:v>
      </x:c>
      <x:c r="D92" s="88" t="str">
        <x:v>最大裂纹长度</x:v>
      </x:c>
      <x:c r="E92" s="88" t="str">
        <x:v>segment</x:v>
      </x:c>
      <x:c r="F92" s="88" t="str">
        <x:v>number</x:v>
      </x:c>
      <x:c r="G92" s="88" t="str">
        <x:v>mm</x:v>
      </x:c>
      <x:c r="H92" s="88" t="str">
        <x:v>CORRECTION_MODEL_CANDIDATE；STRUCTURAL_RELIABILITY_INPUT</x:v>
      </x:c>
      <x:c r="I92" s="88" t="str">
        <x:v>stress_corrosion_cracking</x:v>
      </x:c>
      <x:c r="J92" s="88" t="str">
        <x:v>engineering_indicators显式观测</x:v>
      </x:c>
      <x:c r="K92" s="89" t="str">
        <x:v>未判定</x:v>
      </x:c>
      <x:c r="L92" s="89"/>
      <x:c r="M92" s="89"/>
      <x:c r="N92" s="89"/>
      <x:c r="O92" s="90"/>
      <x:c r="P92" s="89"/>
      <x:c r="Q92" s="89"/>
      <x:c r="R92" s="89" t="str">
        <x:v>未审核</x:v>
      </x:c>
      <x:c r="S92" s="88" t="str">
        <x:f>IF(K92="未判定","未判定",IF(K92="不适用",IF(L92="","缺少不适用依据","已关闭"),IF(M92="","适用但缺值",IF(P92="","缺少来源",IF(Q92="","缺少填报人",IF(R92&lt;&gt;"已审核","待审核","完整"))))))</x:f>
        <x:v>未判定</x:v>
      </x:c>
      <x:c r="T92" s="88" t="str">
        <x:v>SY/T 6891.2-2020 8.2、附录A-B、表4 制造与施工缺陷/腐蚀</x:v>
      </x:c>
    </x:row>
    <x:row r="93" ht="60" customHeight="1">
      <x:c r="A93" s="88" t="n">
        <x:v>89</x:v>
      </x:c>
      <x:c r="B93" s="88" t="str">
        <x:v>应力腐蚀开裂与疲劳</x:v>
      </x:c>
      <x:c r="C93" s="88" t="str">
        <x:v>scc_fatigue.fatigue_usage_factor</x:v>
      </x:c>
      <x:c r="D93" s="88" t="str">
        <x:v>疲劳累积使用系数</x:v>
      </x:c>
      <x:c r="E93" s="88" t="str">
        <x:v>segment</x:v>
      </x:c>
      <x:c r="F93" s="88" t="str">
        <x:v>number</x:v>
      </x:c>
      <x:c r="G93" s="88" t="str">
        <x:v>—</x:v>
      </x:c>
      <x:c r="H93" s="88" t="str">
        <x:v>CORRECTION_MODEL_CANDIDATE；STRUCTURAL_RELIABILITY_INPUT</x:v>
      </x:c>
      <x:c r="I93" s="88" t="str">
        <x:v>stress_corrosion_cracking</x:v>
      </x:c>
      <x:c r="J93" s="88" t="str">
        <x:v>engineering_indicators显式观测</x:v>
      </x:c>
      <x:c r="K93" s="89" t="str">
        <x:v>未判定</x:v>
      </x:c>
      <x:c r="L93" s="89"/>
      <x:c r="M93" s="89"/>
      <x:c r="N93" s="89"/>
      <x:c r="O93" s="90"/>
      <x:c r="P93" s="89"/>
      <x:c r="Q93" s="89"/>
      <x:c r="R93" s="89" t="str">
        <x:v>未审核</x:v>
      </x:c>
      <x:c r="S93" s="88" t="str">
        <x:f>IF(K93="未判定","未判定",IF(K93="不适用",IF(L93="","缺少不适用依据","已关闭"),IF(M93="","适用但缺值",IF(P93="","缺少来源",IF(Q93="","缺少填报人",IF(R93&lt;&gt;"已审核","待审核","完整"))))))</x:f>
        <x:v>未判定</x:v>
      </x:c>
      <x:c r="T93" s="88" t="str">
        <x:v>SY/T 6891.2-2020 8.2、附录A-B、表4 制造与施工缺陷/腐蚀</x:v>
      </x:c>
    </x:row>
    <x:row r="94" ht="60" customHeight="1">
      <x:c r="A94" s="88" t="n">
        <x:v>90</x:v>
      </x:c>
      <x:c r="B94" s="88" t="str">
        <x:v>应力腐蚀开裂与疲劳</x:v>
      </x:c>
      <x:c r="C94" s="88" t="str">
        <x:v>scc_fatigue.scc_failure_history_count</x:v>
      </x:c>
      <x:c r="D94" s="88" t="str">
        <x:v>SCC历史失效次数</x:v>
      </x:c>
      <x:c r="E94" s="88" t="str">
        <x:v>segment</x:v>
      </x:c>
      <x:c r="F94" s="88" t="str">
        <x:v>integer</x:v>
      </x:c>
      <x:c r="G94" s="88" t="str">
        <x:v>count</x:v>
      </x:c>
      <x:c r="H94" s="88" t="str">
        <x:v>CORRECTION_MODEL_CANDIDATE；STRUCTURAL_RELIABILITY_INPUT</x:v>
      </x:c>
      <x:c r="I94" s="88" t="str">
        <x:v>stress_corrosion_cracking</x:v>
      </x:c>
      <x:c r="J94" s="88" t="str">
        <x:v>engineering_indicators显式观测</x:v>
      </x:c>
      <x:c r="K94" s="89" t="str">
        <x:v>未判定</x:v>
      </x:c>
      <x:c r="L94" s="89"/>
      <x:c r="M94" s="89"/>
      <x:c r="N94" s="89"/>
      <x:c r="O94" s="90"/>
      <x:c r="P94" s="89"/>
      <x:c r="Q94" s="89"/>
      <x:c r="R94" s="89" t="str">
        <x:v>未审核</x:v>
      </x:c>
      <x:c r="S94" s="88" t="str">
        <x:f>IF(K94="未判定","未判定",IF(K94="不适用",IF(L94="","缺少不适用依据","已关闭"),IF(M94="","适用但缺值",IF(P94="","缺少来源",IF(Q94="","缺少填报人",IF(R94&lt;&gt;"已审核","待审核","完整"))))))</x:f>
        <x:v>未判定</x:v>
      </x:c>
      <x:c r="T94" s="88" t="str">
        <x:v>SY/T 6891.2-2020 8.2、附录A-B、表4 制造与施工缺陷/腐蚀</x:v>
      </x:c>
    </x:row>
    <x:row r="95" ht="60" customHeight="1">
      <x:c r="A95" s="88" t="n">
        <x:v>91</x:v>
      </x:c>
      <x:c r="B95" s="88" t="str">
        <x:v>制造与施工缺陷</x:v>
      </x:c>
      <x:c r="C95" s="88" t="str">
        <x:v>manufacturing_defects.pipe_manufacturer</x:v>
      </x:c>
      <x:c r="D95" s="88" t="str">
        <x:v>钢管制造商</x:v>
      </x:c>
      <x:c r="E95" s="88" t="str">
        <x:v>segment</x:v>
      </x:c>
      <x:c r="F95" s="88" t="str">
        <x:v>string</x:v>
      </x:c>
      <x:c r="G95" s="88" t="str">
        <x:v>—</x:v>
      </x:c>
      <x:c r="H95" s="88" t="str">
        <x:v>CORRECTION_MODEL_CANDIDATE；STRUCTURAL_RELIABILITY_INPUT</x:v>
      </x:c>
      <x:c r="I95" s="88" t="str">
        <x:v>manufacturing_construction</x:v>
      </x:c>
      <x:c r="J95" s="88" t="str">
        <x:v>engineering_indicators显式观测</x:v>
      </x:c>
      <x:c r="K95" s="89" t="str">
        <x:v>未判定</x:v>
      </x:c>
      <x:c r="L95" s="89"/>
      <x:c r="M95" s="89"/>
      <x:c r="N95" s="89"/>
      <x:c r="O95" s="90"/>
      <x:c r="P95" s="89"/>
      <x:c r="Q95" s="89"/>
      <x:c r="R95" s="89" t="str">
        <x:v>未审核</x:v>
      </x:c>
      <x:c r="S95" s="88" t="str">
        <x:f>IF(K95="未判定","未判定",IF(K95="不适用",IF(L95="","缺少不适用依据","已关闭"),IF(M95="","适用但缺值",IF(P95="","缺少来源",IF(Q95="","缺少填报人",IF(R95&lt;&gt;"已审核","待审核","完整"))))))</x:f>
        <x:v>未判定</x:v>
      </x:c>
      <x:c r="T95" s="88" t="str">
        <x:v>SY/T 6891.2-2020 表1 检测评价、8.2、附录A-B、表4</x:v>
      </x:c>
    </x:row>
    <x:row r="96" ht="60" customHeight="1">
      <x:c r="A96" s="88" t="n">
        <x:v>92</x:v>
      </x:c>
      <x:c r="B96" s="88" t="str">
        <x:v>制造与施工缺陷</x:v>
      </x:c>
      <x:c r="C96" s="88" t="str">
        <x:v>manufacturing_defects.manufacturing_standard</x:v>
      </x:c>
      <x:c r="D96" s="88" t="str">
        <x:v>钢管制造标准</x:v>
      </x:c>
      <x:c r="E96" s="88" t="str">
        <x:v>segment</x:v>
      </x:c>
      <x:c r="F96" s="88" t="str">
        <x:v>string</x:v>
      </x:c>
      <x:c r="G96" s="88" t="str">
        <x:v>—</x:v>
      </x:c>
      <x:c r="H96" s="88" t="str">
        <x:v>CORRECTION_MODEL_CANDIDATE；STRUCTURAL_RELIABILITY_INPUT</x:v>
      </x:c>
      <x:c r="I96" s="88" t="str">
        <x:v>manufacturing_construction</x:v>
      </x:c>
      <x:c r="J96" s="88" t="str">
        <x:v>engineering_indicators显式观测</x:v>
      </x:c>
      <x:c r="K96" s="89" t="str">
        <x:v>未判定</x:v>
      </x:c>
      <x:c r="L96" s="89"/>
      <x:c r="M96" s="89"/>
      <x:c r="N96" s="89"/>
      <x:c r="O96" s="90"/>
      <x:c r="P96" s="89"/>
      <x:c r="Q96" s="89"/>
      <x:c r="R96" s="89" t="str">
        <x:v>未审核</x:v>
      </x:c>
      <x:c r="S96" s="88" t="str">
        <x:f>IF(K96="未判定","未判定",IF(K96="不适用",IF(L96="","缺少不适用依据","已关闭"),IF(M96="","适用但缺值",IF(P96="","缺少来源",IF(Q96="","缺少填报人",IF(R96&lt;&gt;"已审核","待审核","完整"))))))</x:f>
        <x:v>未判定</x:v>
      </x:c>
      <x:c r="T96" s="88" t="str">
        <x:v>SY/T 6891.2-2020 表1 检测评价、8.2、附录A-B、表4</x:v>
      </x:c>
    </x:row>
    <x:row r="97" ht="60" customHeight="1">
      <x:c r="A97" s="88" t="n">
        <x:v>93</x:v>
      </x:c>
      <x:c r="B97" s="88" t="str">
        <x:v>制造与施工缺陷</x:v>
      </x:c>
      <x:c r="C97" s="88" t="str">
        <x:v>manufacturing_defects.seam_defect_count_per_km</x:v>
      </x:c>
      <x:c r="D97" s="88" t="str">
        <x:v>制管焊缝缺陷密度</x:v>
      </x:c>
      <x:c r="E97" s="88" t="str">
        <x:v>segment</x:v>
      </x:c>
      <x:c r="F97" s="88" t="str">
        <x:v>number</x:v>
      </x:c>
      <x:c r="G97" s="88" t="str">
        <x:v>1/km</x:v>
      </x:c>
      <x:c r="H97" s="88" t="str">
        <x:v>CORRECTION_MODEL_CANDIDATE；STRUCTURAL_RELIABILITY_INPUT</x:v>
      </x:c>
      <x:c r="I97" s="88" t="str">
        <x:v>manufacturing_construction</x:v>
      </x:c>
      <x:c r="J97" s="88" t="str">
        <x:v>engineering_indicators显式观测</x:v>
      </x:c>
      <x:c r="K97" s="89" t="str">
        <x:v>未判定</x:v>
      </x:c>
      <x:c r="L97" s="89"/>
      <x:c r="M97" s="89"/>
      <x:c r="N97" s="89"/>
      <x:c r="O97" s="90"/>
      <x:c r="P97" s="89"/>
      <x:c r="Q97" s="89"/>
      <x:c r="R97" s="89" t="str">
        <x:v>未审核</x:v>
      </x:c>
      <x:c r="S97" s="88" t="str">
        <x:f>IF(K97="未判定","未判定",IF(K97="不适用",IF(L97="","缺少不适用依据","已关闭"),IF(M97="","适用但缺值",IF(P97="","缺少来源",IF(Q97="","缺少填报人",IF(R97&lt;&gt;"已审核","待审核","完整"))))))</x:f>
        <x:v>未判定</x:v>
      </x:c>
      <x:c r="T97" s="88" t="str">
        <x:v>SY/T 6891.2-2020 表1 检测评价、8.2、附录A-B、表4</x:v>
      </x:c>
    </x:row>
    <x:row r="98" ht="60" customHeight="1">
      <x:c r="A98" s="88" t="n">
        <x:v>94</x:v>
      </x:c>
      <x:c r="B98" s="88" t="str">
        <x:v>制造与施工缺陷</x:v>
      </x:c>
      <x:c r="C98" s="88" t="str">
        <x:v>manufacturing_defects.girth_weld_anomaly_count_per_km</x:v>
      </x:c>
      <x:c r="D98" s="88" t="str">
        <x:v>环焊缝异常密度</x:v>
      </x:c>
      <x:c r="E98" s="88" t="str">
        <x:v>segment</x:v>
      </x:c>
      <x:c r="F98" s="88" t="str">
        <x:v>number</x:v>
      </x:c>
      <x:c r="G98" s="88" t="str">
        <x:v>1/km</x:v>
      </x:c>
      <x:c r="H98" s="88" t="str">
        <x:v>CORRECTION_MODEL_CANDIDATE；STRUCTURAL_RELIABILITY_INPUT</x:v>
      </x:c>
      <x:c r="I98" s="88" t="str">
        <x:v>manufacturing_construction</x:v>
      </x:c>
      <x:c r="J98" s="88" t="str">
        <x:v>engineering_indicators显式观测</x:v>
      </x:c>
      <x:c r="K98" s="89" t="str">
        <x:v>未判定</x:v>
      </x:c>
      <x:c r="L98" s="89"/>
      <x:c r="M98" s="89"/>
      <x:c r="N98" s="89"/>
      <x:c r="O98" s="90"/>
      <x:c r="P98" s="89"/>
      <x:c r="Q98" s="89"/>
      <x:c r="R98" s="89" t="str">
        <x:v>未审核</x:v>
      </x:c>
      <x:c r="S98" s="88" t="str">
        <x:f>IF(K98="未判定","未判定",IF(K98="不适用",IF(L98="","缺少不适用依据","已关闭"),IF(M98="","适用但缺值",IF(P98="","缺少来源",IF(Q98="","缺少填报人",IF(R98&lt;&gt;"已审核","待审核","完整"))))))</x:f>
        <x:v>未判定</x:v>
      </x:c>
      <x:c r="T98" s="88" t="str">
        <x:v>SY/T 6891.2-2020 表1 检测评价、8.2、附录A-B、表4</x:v>
      </x:c>
    </x:row>
    <x:row r="99" ht="60" customHeight="1">
      <x:c r="A99" s="88" t="n">
        <x:v>95</x:v>
      </x:c>
      <x:c r="B99" s="88" t="str">
        <x:v>制造与施工缺陷</x:v>
      </x:c>
      <x:c r="C99" s="88" t="str">
        <x:v>manufacturing_defects.lack_of_fusion_count_per_km</x:v>
      </x:c>
      <x:c r="D99" s="88" t="str">
        <x:v>未熔合缺陷密度</x:v>
      </x:c>
      <x:c r="E99" s="88" t="str">
        <x:v>segment</x:v>
      </x:c>
      <x:c r="F99" s="88" t="str">
        <x:v>number</x:v>
      </x:c>
      <x:c r="G99" s="88" t="str">
        <x:v>1/km</x:v>
      </x:c>
      <x:c r="H99" s="88" t="str">
        <x:v>CORRECTION_MODEL_CANDIDATE；STRUCTURAL_RELIABILITY_INPUT</x:v>
      </x:c>
      <x:c r="I99" s="88" t="str">
        <x:v>manufacturing_construction</x:v>
      </x:c>
      <x:c r="J99" s="88" t="str">
        <x:v>engineering_indicators显式观测</x:v>
      </x:c>
      <x:c r="K99" s="89" t="str">
        <x:v>未判定</x:v>
      </x:c>
      <x:c r="L99" s="89"/>
      <x:c r="M99" s="89"/>
      <x:c r="N99" s="89"/>
      <x:c r="O99" s="90"/>
      <x:c r="P99" s="89"/>
      <x:c r="Q99" s="89"/>
      <x:c r="R99" s="89" t="str">
        <x:v>未审核</x:v>
      </x:c>
      <x:c r="S99" s="88" t="str">
        <x:f>IF(K99="未判定","未判定",IF(K99="不适用",IF(L99="","缺少不适用依据","已关闭"),IF(M99="","适用但缺值",IF(P99="","缺少来源",IF(Q99="","缺少填报人",IF(R99&lt;&gt;"已审核","待审核","完整"))))))</x:f>
        <x:v>未判定</x:v>
      </x:c>
      <x:c r="T99" s="88" t="str">
        <x:v>SY/T 6891.2-2020 表1 检测评价、8.2、附录A-B、表4</x:v>
      </x:c>
    </x:row>
    <x:row r="100" ht="60" customHeight="1">
      <x:c r="A100" s="88" t="n">
        <x:v>96</x:v>
      </x:c>
      <x:c r="B100" s="88" t="str">
        <x:v>制造与施工缺陷</x:v>
      </x:c>
      <x:c r="C100" s="88" t="str">
        <x:v>manufacturing_defects.slag_inclusion_count_per_km</x:v>
      </x:c>
      <x:c r="D100" s="88" t="str">
        <x:v>夹渣缺陷密度</x:v>
      </x:c>
      <x:c r="E100" s="88" t="str">
        <x:v>segment</x:v>
      </x:c>
      <x:c r="F100" s="88" t="str">
        <x:v>number</x:v>
      </x:c>
      <x:c r="G100" s="88" t="str">
        <x:v>1/km</x:v>
      </x:c>
      <x:c r="H100" s="88" t="str">
        <x:v>CORRECTION_MODEL_CANDIDATE；STRUCTURAL_RELIABILITY_INPUT</x:v>
      </x:c>
      <x:c r="I100" s="88" t="str">
        <x:v>manufacturing_construction</x:v>
      </x:c>
      <x:c r="J100" s="88" t="str">
        <x:v>engineering_indicators显式观测</x:v>
      </x:c>
      <x:c r="K100" s="89" t="str">
        <x:v>未判定</x:v>
      </x:c>
      <x:c r="L100" s="89"/>
      <x:c r="M100" s="89"/>
      <x:c r="N100" s="89"/>
      <x:c r="O100" s="90"/>
      <x:c r="P100" s="89"/>
      <x:c r="Q100" s="89"/>
      <x:c r="R100" s="89" t="str">
        <x:v>未审核</x:v>
      </x:c>
      <x:c r="S100" s="88" t="str">
        <x:f>IF(K100="未判定","未判定",IF(K100="不适用",IF(L100="","缺少不适用依据","已关闭"),IF(M100="","适用但缺值",IF(P100="","缺少来源",IF(Q100="","缺少填报人",IF(R100&lt;&gt;"已审核","待审核","完整"))))))</x:f>
        <x:v>未判定</x:v>
      </x:c>
      <x:c r="T100" s="88" t="str">
        <x:v>SY/T 6891.2-2020 表1 检测评价、8.2、附录A-B、表4</x:v>
      </x:c>
    </x:row>
    <x:row r="101" ht="60" customHeight="1">
      <x:c r="A101" s="88" t="n">
        <x:v>97</x:v>
      </x:c>
      <x:c r="B101" s="88" t="str">
        <x:v>制造与施工缺陷</x:v>
      </x:c>
      <x:c r="C101" s="88" t="str">
        <x:v>manufacturing_defects.weld_crack_count_per_km</x:v>
      </x:c>
      <x:c r="D101" s="88" t="str">
        <x:v>焊接裂纹密度</x:v>
      </x:c>
      <x:c r="E101" s="88" t="str">
        <x:v>segment</x:v>
      </x:c>
      <x:c r="F101" s="88" t="str">
        <x:v>number</x:v>
      </x:c>
      <x:c r="G101" s="88" t="str">
        <x:v>1/km</x:v>
      </x:c>
      <x:c r="H101" s="88" t="str">
        <x:v>CORRECTION_MODEL_CANDIDATE；STRUCTURAL_RELIABILITY_INPUT</x:v>
      </x:c>
      <x:c r="I101" s="88" t="str">
        <x:v>manufacturing_construction</x:v>
      </x:c>
      <x:c r="J101" s="88" t="str">
        <x:v>engineering_indicators显式观测</x:v>
      </x:c>
      <x:c r="K101" s="89" t="str">
        <x:v>未判定</x:v>
      </x:c>
      <x:c r="L101" s="89"/>
      <x:c r="M101" s="89"/>
      <x:c r="N101" s="89"/>
      <x:c r="O101" s="90"/>
      <x:c r="P101" s="89"/>
      <x:c r="Q101" s="89"/>
      <x:c r="R101" s="89" t="str">
        <x:v>未审核</x:v>
      </x:c>
      <x:c r="S101" s="88" t="str">
        <x:f>IF(K101="未判定","未判定",IF(K101="不适用",IF(L101="","缺少不适用依据","已关闭"),IF(M101="","适用但缺值",IF(P101="","缺少来源",IF(Q101="","缺少填报人",IF(R101&lt;&gt;"已审核","待审核","完整"))))))</x:f>
        <x:v>未判定</x:v>
      </x:c>
      <x:c r="T101" s="88" t="str">
        <x:v>SY/T 6891.2-2020 表1 检测评价、8.2、附录A-B、表4</x:v>
      </x:c>
    </x:row>
    <x:row r="102" ht="60" customHeight="1">
      <x:c r="A102" s="88" t="n">
        <x:v>98</x:v>
      </x:c>
      <x:c r="B102" s="88" t="str">
        <x:v>制造与施工缺陷</x:v>
      </x:c>
      <x:c r="C102" s="88" t="str">
        <x:v>manufacturing_defects.lamination_count_per_km</x:v>
      </x:c>
      <x:c r="D102" s="88" t="str">
        <x:v>分层缺陷密度</x:v>
      </x:c>
      <x:c r="E102" s="88" t="str">
        <x:v>segment</x:v>
      </x:c>
      <x:c r="F102" s="88" t="str">
        <x:v>number</x:v>
      </x:c>
      <x:c r="G102" s="88" t="str">
        <x:v>1/km</x:v>
      </x:c>
      <x:c r="H102" s="88" t="str">
        <x:v>CORRECTION_MODEL_CANDIDATE；STRUCTURAL_RELIABILITY_INPUT</x:v>
      </x:c>
      <x:c r="I102" s="88" t="str">
        <x:v>manufacturing_construction</x:v>
      </x:c>
      <x:c r="J102" s="88" t="str">
        <x:v>engineering_indicators显式观测</x:v>
      </x:c>
      <x:c r="K102" s="89" t="str">
        <x:v>未判定</x:v>
      </x:c>
      <x:c r="L102" s="89"/>
      <x:c r="M102" s="89"/>
      <x:c r="N102" s="89"/>
      <x:c r="O102" s="90"/>
      <x:c r="P102" s="89"/>
      <x:c r="Q102" s="89"/>
      <x:c r="R102" s="89" t="str">
        <x:v>未审核</x:v>
      </x:c>
      <x:c r="S102" s="88" t="str">
        <x:f>IF(K102="未判定","未判定",IF(K102="不适用",IF(L102="","缺少不适用依据","已关闭"),IF(M102="","适用但缺值",IF(P102="","缺少来源",IF(Q102="","缺少填报人",IF(R102&lt;&gt;"已审核","待审核","完整"))))))</x:f>
        <x:v>未判定</x:v>
      </x:c>
      <x:c r="T102" s="88" t="str">
        <x:v>SY/T 6891.2-2020 表1 检测评价、8.2、附录A-B、表4</x:v>
      </x:c>
    </x:row>
    <x:row r="103" ht="60" customHeight="1">
      <x:c r="A103" s="88" t="n">
        <x:v>99</x:v>
      </x:c>
      <x:c r="B103" s="88" t="str">
        <x:v>制造与施工缺陷</x:v>
      </x:c>
      <x:c r="C103" s="88" t="str">
        <x:v>manufacturing_defects.dent_strain_max_fraction</x:v>
      </x:c>
      <x:c r="D103" s="88" t="str">
        <x:v>凹陷最大应变</x:v>
      </x:c>
      <x:c r="E103" s="88" t="str">
        <x:v>segment</x:v>
      </x:c>
      <x:c r="F103" s="88" t="str">
        <x:v>number</x:v>
      </x:c>
      <x:c r="G103" s="88" t="str">
        <x:v>—</x:v>
      </x:c>
      <x:c r="H103" s="88" t="str">
        <x:v>CORRECTION_MODEL_CANDIDATE；STRUCTURAL_RELIABILITY_INPUT</x:v>
      </x:c>
      <x:c r="I103" s="88" t="str">
        <x:v>manufacturing_construction</x:v>
      </x:c>
      <x:c r="J103" s="88" t="str">
        <x:v>engineering_indicators显式观测</x:v>
      </x:c>
      <x:c r="K103" s="89" t="str">
        <x:v>未判定</x:v>
      </x:c>
      <x:c r="L103" s="89"/>
      <x:c r="M103" s="89"/>
      <x:c r="N103" s="89"/>
      <x:c r="O103" s="90"/>
      <x:c r="P103" s="89"/>
      <x:c r="Q103" s="89"/>
      <x:c r="R103" s="89" t="str">
        <x:v>未审核</x:v>
      </x:c>
      <x:c r="S103" s="88" t="str">
        <x:f>IF(K103="未判定","未判定",IF(K103="不适用",IF(L103="","缺少不适用依据","已关闭"),IF(M103="","适用但缺值",IF(P103="","缺少来源",IF(Q103="","缺少填报人",IF(R103&lt;&gt;"已审核","待审核","完整"))))))</x:f>
        <x:v>未判定</x:v>
      </x:c>
      <x:c r="T103" s="88" t="str">
        <x:v>SY/T 6891.2-2020 表1 检测评价、8.2、附录A-B、表4</x:v>
      </x:c>
    </x:row>
    <x:row r="104" ht="60" customHeight="1">
      <x:c r="A104" s="88" t="n">
        <x:v>100</x:v>
      </x:c>
      <x:c r="B104" s="88" t="str">
        <x:v>制造与施工缺陷</x:v>
      </x:c>
      <x:c r="C104" s="88" t="str">
        <x:v>manufacturing_defects.wrinkle_bend_present</x:v>
      </x:c>
      <x:c r="D104" s="88" t="str">
        <x:v>褶皱弯管存在</x:v>
      </x:c>
      <x:c r="E104" s="88" t="str">
        <x:v>segment</x:v>
      </x:c>
      <x:c r="F104" s="88" t="str">
        <x:v>boolean</x:v>
      </x:c>
      <x:c r="G104" s="88" t="str">
        <x:v>—</x:v>
      </x:c>
      <x:c r="H104" s="88" t="str">
        <x:v>CORRECTION_MODEL_CANDIDATE；STRUCTURAL_RELIABILITY_INPUT</x:v>
      </x:c>
      <x:c r="I104" s="88" t="str">
        <x:v>manufacturing_construction</x:v>
      </x:c>
      <x:c r="J104" s="88" t="str">
        <x:v>engineering_indicators显式观测</x:v>
      </x:c>
      <x:c r="K104" s="89" t="str">
        <x:v>未判定</x:v>
      </x:c>
      <x:c r="L104" s="89"/>
      <x:c r="M104" s="89"/>
      <x:c r="N104" s="89"/>
      <x:c r="O104" s="90"/>
      <x:c r="P104" s="89"/>
      <x:c r="Q104" s="89"/>
      <x:c r="R104" s="89" t="str">
        <x:v>未审核</x:v>
      </x:c>
      <x:c r="S104" s="88" t="str">
        <x:f>IF(K104="未判定","未判定",IF(K104="不适用",IF(L104="","缺少不适用依据","已关闭"),IF(M104="","适用但缺值",IF(P104="","缺少来源",IF(Q104="","缺少填报人",IF(R104&lt;&gt;"已审核","待审核","完整"))))))</x:f>
        <x:v>未判定</x:v>
      </x:c>
      <x:c r="T104" s="88" t="str">
        <x:v>SY/T 6891.2-2020 表1 检测评价、8.2、附录A-B、表4</x:v>
      </x:c>
    </x:row>
    <x:row r="105" ht="60" customHeight="1">
      <x:c r="A105" s="88" t="n">
        <x:v>101</x:v>
      </x:c>
      <x:c r="B105" s="88" t="str">
        <x:v>制造与施工缺陷</x:v>
      </x:c>
      <x:c r="C105" s="88" t="str">
        <x:v>manufacturing_defects.hydrotest_pressure_ratio_smys</x:v>
      </x:c>
      <x:c r="D105" s="88" t="str">
        <x:v>水压试验压力比</x:v>
      </x:c>
      <x:c r="E105" s="88" t="str">
        <x:v>segment</x:v>
      </x:c>
      <x:c r="F105" s="88" t="str">
        <x:v>number</x:v>
      </x:c>
      <x:c r="G105" s="88" t="str">
        <x:v>—</x:v>
      </x:c>
      <x:c r="H105" s="88" t="str">
        <x:v>CORRECTION_MODEL_CANDIDATE；STRUCTURAL_RELIABILITY_INPUT</x:v>
      </x:c>
      <x:c r="I105" s="88" t="str">
        <x:v>manufacturing_construction</x:v>
      </x:c>
      <x:c r="J105" s="88" t="str">
        <x:v>engineering_indicators显式观测</x:v>
      </x:c>
      <x:c r="K105" s="89" t="str">
        <x:v>未判定</x:v>
      </x:c>
      <x:c r="L105" s="89"/>
      <x:c r="M105" s="89"/>
      <x:c r="N105" s="89"/>
      <x:c r="O105" s="90"/>
      <x:c r="P105" s="89"/>
      <x:c r="Q105" s="89"/>
      <x:c r="R105" s="89" t="str">
        <x:v>未审核</x:v>
      </x:c>
      <x:c r="S105" s="88" t="str">
        <x:f>IF(K105="未判定","未判定",IF(K105="不适用",IF(L105="","缺少不适用依据","已关闭"),IF(M105="","适用但缺值",IF(P105="","缺少来源",IF(Q105="","缺少填报人",IF(R105&lt;&gt;"已审核","待审核","完整"))))))</x:f>
        <x:v>未判定</x:v>
      </x:c>
      <x:c r="T105" s="88" t="str">
        <x:v>SY/T 6891.2-2020 表1 检测评价、8.2、附录A-B、表4</x:v>
      </x:c>
    </x:row>
    <x:row r="106" ht="60" customHeight="1">
      <x:c r="A106" s="88" t="n">
        <x:v>102</x:v>
      </x:c>
      <x:c r="B106" s="88" t="str">
        <x:v>制造与施工缺陷</x:v>
      </x:c>
      <x:c r="C106" s="88" t="str">
        <x:v>manufacturing_defects.manufacturing_failure_history_count</x:v>
      </x:c>
      <x:c r="D106" s="88" t="str">
        <x:v>制造缺陷历史失效次数</x:v>
      </x:c>
      <x:c r="E106" s="88" t="str">
        <x:v>segment</x:v>
      </x:c>
      <x:c r="F106" s="88" t="str">
        <x:v>integer</x:v>
      </x:c>
      <x:c r="G106" s="88" t="str">
        <x:v>count</x:v>
      </x:c>
      <x:c r="H106" s="88" t="str">
        <x:v>CORRECTION_MODEL_CANDIDATE；STRUCTURAL_RELIABILITY_INPUT</x:v>
      </x:c>
      <x:c r="I106" s="88" t="str">
        <x:v>manufacturing_construction</x:v>
      </x:c>
      <x:c r="J106" s="88" t="str">
        <x:v>engineering_indicators显式观测</x:v>
      </x:c>
      <x:c r="K106" s="89" t="str">
        <x:v>未判定</x:v>
      </x:c>
      <x:c r="L106" s="89"/>
      <x:c r="M106" s="89"/>
      <x:c r="N106" s="89"/>
      <x:c r="O106" s="90"/>
      <x:c r="P106" s="89"/>
      <x:c r="Q106" s="89"/>
      <x:c r="R106" s="89" t="str">
        <x:v>未审核</x:v>
      </x:c>
      <x:c r="S106" s="88" t="str">
        <x:f>IF(K106="未判定","未判定",IF(K106="不适用",IF(L106="","缺少不适用依据","已关闭"),IF(M106="","适用但缺值",IF(P106="","缺少来源",IF(Q106="","缺少填报人",IF(R106&lt;&gt;"已审核","待审核","完整"))))))</x:f>
        <x:v>未判定</x:v>
      </x:c>
      <x:c r="T106" s="88" t="str">
        <x:v>SY/T 6891.2-2020 表1 检测评价、8.2、附录A-B、表4</x:v>
      </x:c>
    </x:row>
    <x:row r="107" ht="60" customHeight="1">
      <x:c r="A107" s="88" t="n">
        <x:v>103</x:v>
      </x:c>
      <x:c r="B107" s="88" t="str">
        <x:v>第三方损伤与占压活动</x:v>
      </x:c>
      <x:c r="C107" s="88" t="str">
        <x:v>third_party.excavation_events_per_km_year</x:v>
      </x:c>
      <x:c r="D107" s="88" t="str">
        <x:v>开挖活动密度</x:v>
      </x:c>
      <x:c r="E107" s="88" t="str">
        <x:v>segment</x:v>
      </x:c>
      <x:c r="F107" s="88" t="str">
        <x:v>number</x:v>
      </x:c>
      <x:c r="G107" s="88" t="str">
        <x:v>1/(km*year)</x:v>
      </x:c>
      <x:c r="H107" s="88" t="str">
        <x:v>CORRECTION_MODEL_CANDIDATE；SEGMENTATION</x:v>
      </x:c>
      <x:c r="I107" s="88" t="str">
        <x:v>third_party_damage</x:v>
      </x:c>
      <x:c r="J107" s="88" t="str">
        <x:v>engineering_indicators显式观测</x:v>
      </x:c>
      <x:c r="K107" s="89" t="str">
        <x:v>未判定</x:v>
      </x:c>
      <x:c r="L107" s="89"/>
      <x:c r="M107" s="89"/>
      <x:c r="N107" s="89"/>
      <x:c r="O107" s="90"/>
      <x:c r="P107" s="89"/>
      <x:c r="Q107" s="89"/>
      <x:c r="R107" s="89" t="str">
        <x:v>未审核</x:v>
      </x:c>
      <x:c r="S107" s="88" t="str">
        <x:f>IF(K107="未判定","未判定",IF(K107="不适用",IF(L107="","缺少不适用依据","已关闭"),IF(M107="","适用但缺值",IF(P107="","缺少来源",IF(Q107="","缺少填报人",IF(R107&lt;&gt;"已审核","待审核","完整"))))))</x:f>
        <x:v>未判定</x:v>
      </x:c>
      <x:c r="T107" s="88" t="str">
        <x:v>SY/T 6891.2-2020 表1 周边环境/运行维护、7、表4 第三方损坏；SY/T 6891.2-2020 附录C表C.1示例仅作数据源提示</x:v>
      </x:c>
    </x:row>
    <x:row r="108" ht="60" customHeight="1">
      <x:c r="A108" s="88" t="n">
        <x:v>104</x:v>
      </x:c>
      <x:c r="B108" s="88" t="str">
        <x:v>第三方损伤与占压活动</x:v>
      </x:c>
      <x:c r="C108" s="88" t="str">
        <x:v>third_party.construction_crossing_count_per_km</x:v>
      </x:c>
      <x:c r="D108" s="88" t="str">
        <x:v>施工交叉点密度</x:v>
      </x:c>
      <x:c r="E108" s="88" t="str">
        <x:v>segment</x:v>
      </x:c>
      <x:c r="F108" s="88" t="str">
        <x:v>number</x:v>
      </x:c>
      <x:c r="G108" s="88" t="str">
        <x:v>1/km</x:v>
      </x:c>
      <x:c r="H108" s="88" t="str">
        <x:v>CORRECTION_MODEL_CANDIDATE；SEGMENTATION</x:v>
      </x:c>
      <x:c r="I108" s="88" t="str">
        <x:v>third_party_damage</x:v>
      </x:c>
      <x:c r="J108" s="88" t="str">
        <x:v>engineering_indicators显式观测</x:v>
      </x:c>
      <x:c r="K108" s="89" t="str">
        <x:v>未判定</x:v>
      </x:c>
      <x:c r="L108" s="89"/>
      <x:c r="M108" s="89"/>
      <x:c r="N108" s="89"/>
      <x:c r="O108" s="90"/>
      <x:c r="P108" s="89"/>
      <x:c r="Q108" s="89"/>
      <x:c r="R108" s="89" t="str">
        <x:v>未审核</x:v>
      </x:c>
      <x:c r="S108" s="88" t="str">
        <x:f>IF(K108="未判定","未判定",IF(K108="不适用",IF(L108="","缺少不适用依据","已关闭"),IF(M108="","适用但缺值",IF(P108="","缺少来源",IF(Q108="","缺少填报人",IF(R108&lt;&gt;"已审核","待审核","完整"))))))</x:f>
        <x:v>未判定</x:v>
      </x:c>
      <x:c r="T108" s="88" t="str">
        <x:v>SY/T 6891.2-2020 表1 周边环境/运行维护、7、表4 第三方损坏；SY/T 6891.2-2020 附录C表C.1示例仅作数据源提示</x:v>
      </x:c>
    </x:row>
    <x:row r="109" ht="60" customHeight="1">
      <x:c r="A109" s="88" t="n">
        <x:v>105</x:v>
      </x:c>
      <x:c r="B109" s="88" t="str">
        <x:v>第三方损伤与占压活动</x:v>
      </x:c>
      <x:c r="C109" s="88" t="str">
        <x:v>third_party.road_crossing_count_per_km</x:v>
      </x:c>
      <x:c r="D109" s="88" t="str">
        <x:v>道路穿越密度</x:v>
      </x:c>
      <x:c r="E109" s="88" t="str">
        <x:v>segment</x:v>
      </x:c>
      <x:c r="F109" s="88" t="str">
        <x:v>number</x:v>
      </x:c>
      <x:c r="G109" s="88" t="str">
        <x:v>1/km</x:v>
      </x:c>
      <x:c r="H109" s="88" t="str">
        <x:v>CORRECTION_MODEL_CANDIDATE；SEGMENTATION</x:v>
      </x:c>
      <x:c r="I109" s="88" t="str">
        <x:v>third_party_damage</x:v>
      </x:c>
      <x:c r="J109" s="88" t="str">
        <x:v>engineering_indicators显式观测</x:v>
      </x:c>
      <x:c r="K109" s="89" t="str">
        <x:v>未判定</x:v>
      </x:c>
      <x:c r="L109" s="89"/>
      <x:c r="M109" s="89"/>
      <x:c r="N109" s="89"/>
      <x:c r="O109" s="90"/>
      <x:c r="P109" s="89"/>
      <x:c r="Q109" s="89"/>
      <x:c r="R109" s="89" t="str">
        <x:v>未审核</x:v>
      </x:c>
      <x:c r="S109" s="88" t="str">
        <x:f>IF(K109="未判定","未判定",IF(K109="不适用",IF(L109="","缺少不适用依据","已关闭"),IF(M109="","适用但缺值",IF(P109="","缺少来源",IF(Q109="","缺少填报人",IF(R109&lt;&gt;"已审核","待审核","完整"))))))</x:f>
        <x:v>未判定</x:v>
      </x:c>
      <x:c r="T109" s="88" t="str">
        <x:v>SY/T 6891.2-2020 表1 周边环境/运行维护、7、表4 第三方损坏；SY/T 6891.2-2020 附录C表C.1示例仅作数据源提示</x:v>
      </x:c>
    </x:row>
    <x:row r="110" ht="60" customHeight="1">
      <x:c r="A110" s="88" t="n">
        <x:v>106</x:v>
      </x:c>
      <x:c r="B110" s="88" t="str">
        <x:v>第三方损伤与占压活动</x:v>
      </x:c>
      <x:c r="C110" s="88" t="str">
        <x:v>third_party.railway_crossing_count_per_km</x:v>
      </x:c>
      <x:c r="D110" s="88" t="str">
        <x:v>铁路穿越密度</x:v>
      </x:c>
      <x:c r="E110" s="88" t="str">
        <x:v>segment</x:v>
      </x:c>
      <x:c r="F110" s="88" t="str">
        <x:v>number</x:v>
      </x:c>
      <x:c r="G110" s="88" t="str">
        <x:v>1/km</x:v>
      </x:c>
      <x:c r="H110" s="88" t="str">
        <x:v>CORRECTION_MODEL_CANDIDATE；SEGMENTATION</x:v>
      </x:c>
      <x:c r="I110" s="88" t="str">
        <x:v>third_party_damage</x:v>
      </x:c>
      <x:c r="J110" s="88" t="str">
        <x:v>engineering_indicators显式观测</x:v>
      </x:c>
      <x:c r="K110" s="89" t="str">
        <x:v>未判定</x:v>
      </x:c>
      <x:c r="L110" s="89"/>
      <x:c r="M110" s="89"/>
      <x:c r="N110" s="89"/>
      <x:c r="O110" s="90"/>
      <x:c r="P110" s="89"/>
      <x:c r="Q110" s="89"/>
      <x:c r="R110" s="89" t="str">
        <x:v>未审核</x:v>
      </x:c>
      <x:c r="S110" s="88" t="str">
        <x:f>IF(K110="未判定","未判定",IF(K110="不适用",IF(L110="","缺少不适用依据","已关闭"),IF(M110="","适用但缺值",IF(P110="","缺少来源",IF(Q110="","缺少填报人",IF(R110&lt;&gt;"已审核","待审核","完整"))))))</x:f>
        <x:v>未判定</x:v>
      </x:c>
      <x:c r="T110" s="88" t="str">
        <x:v>SY/T 6891.2-2020 表1 周边环境/运行维护、7、表4 第三方损坏；SY/T 6891.2-2020 附录C表C.1示例仅作数据源提示</x:v>
      </x:c>
    </x:row>
    <x:row r="111" ht="60" customHeight="1">
      <x:c r="A111" s="88" t="n">
        <x:v>107</x:v>
      </x:c>
      <x:c r="B111" s="88" t="str">
        <x:v>第三方损伤与占压活动</x:v>
      </x:c>
      <x:c r="C111" s="88" t="str">
        <x:v>third_party.river_crossing_count_per_km</x:v>
      </x:c>
      <x:c r="D111" s="88" t="str">
        <x:v>河流穿越密度</x:v>
      </x:c>
      <x:c r="E111" s="88" t="str">
        <x:v>segment</x:v>
      </x:c>
      <x:c r="F111" s="88" t="str">
        <x:v>number</x:v>
      </x:c>
      <x:c r="G111" s="88" t="str">
        <x:v>1/km</x:v>
      </x:c>
      <x:c r="H111" s="88" t="str">
        <x:v>CORRECTION_MODEL_CANDIDATE；SEGMENTATION</x:v>
      </x:c>
      <x:c r="I111" s="88" t="str">
        <x:v>third_party_damage</x:v>
      </x:c>
      <x:c r="J111" s="88" t="str">
        <x:v>engineering_indicators显式观测</x:v>
      </x:c>
      <x:c r="K111" s="89" t="str">
        <x:v>未判定</x:v>
      </x:c>
      <x:c r="L111" s="89"/>
      <x:c r="M111" s="89"/>
      <x:c r="N111" s="89"/>
      <x:c r="O111" s="90"/>
      <x:c r="P111" s="89"/>
      <x:c r="Q111" s="89"/>
      <x:c r="R111" s="89" t="str">
        <x:v>未审核</x:v>
      </x:c>
      <x:c r="S111" s="88" t="str">
        <x:f>IF(K111="未判定","未判定",IF(K111="不适用",IF(L111="","缺少不适用依据","已关闭"),IF(M111="","适用但缺值",IF(P111="","缺少来源",IF(Q111="","缺少填报人",IF(R111&lt;&gt;"已审核","待审核","完整"))))))</x:f>
        <x:v>未判定</x:v>
      </x:c>
      <x:c r="T111" s="88" t="str">
        <x:v>SY/T 6891.2-2020 表1 周边环境/运行维护、7、表4 第三方损坏；SY/T 6891.2-2020 附录C表C.1示例仅作数据源提示</x:v>
      </x:c>
    </x:row>
    <x:row r="112" ht="60" customHeight="1">
      <x:c r="A112" s="88" t="n">
        <x:v>108</x:v>
      </x:c>
      <x:c r="B112" s="88" t="str">
        <x:v>第三方损伤与占压活动</x:v>
      </x:c>
      <x:c r="C112" s="88" t="str">
        <x:v>third_party.illegal_occupation_count</x:v>
      </x:c>
      <x:c r="D112" s="88" t="str">
        <x:v>违章占压数量</x:v>
      </x:c>
      <x:c r="E112" s="88" t="str">
        <x:v>segment</x:v>
      </x:c>
      <x:c r="F112" s="88" t="str">
        <x:v>integer</x:v>
      </x:c>
      <x:c r="G112" s="88" t="str">
        <x:v>count</x:v>
      </x:c>
      <x:c r="H112" s="88" t="str">
        <x:v>CORRECTION_MODEL_CANDIDATE；SEGMENTATION</x:v>
      </x:c>
      <x:c r="I112" s="88" t="str">
        <x:v>third_party_damage</x:v>
      </x:c>
      <x:c r="J112" s="88" t="str">
        <x:v>engineering_indicators显式观测</x:v>
      </x:c>
      <x:c r="K112" s="89" t="str">
        <x:v>未判定</x:v>
      </x:c>
      <x:c r="L112" s="89"/>
      <x:c r="M112" s="89"/>
      <x:c r="N112" s="89"/>
      <x:c r="O112" s="90"/>
      <x:c r="P112" s="89"/>
      <x:c r="Q112" s="89"/>
      <x:c r="R112" s="89" t="str">
        <x:v>未审核</x:v>
      </x:c>
      <x:c r="S112" s="88" t="str">
        <x:f>IF(K112="未判定","未判定",IF(K112="不适用",IF(L112="","缺少不适用依据","已关闭"),IF(M112="","适用但缺值",IF(P112="","缺少来源",IF(Q112="","缺少填报人",IF(R112&lt;&gt;"已审核","待审核","完整"))))))</x:f>
        <x:v>未判定</x:v>
      </x:c>
      <x:c r="T112" s="88" t="str">
        <x:v>SY/T 6891.2-2020 表1 周边环境/运行维护、7、表4 第三方损坏；SY/T 6891.2-2020 附录C表C.1示例仅作数据源提示</x:v>
      </x:c>
    </x:row>
    <x:row r="113" ht="60" customHeight="1">
      <x:c r="A113" s="88" t="n">
        <x:v>109</x:v>
      </x:c>
      <x:c r="B113" s="88" t="str">
        <x:v>第三方损伤与占压活动</x:v>
      </x:c>
      <x:c r="C113" s="88" t="str">
        <x:v>third_party.patrol_interval_days</x:v>
      </x:c>
      <x:c r="D113" s="88" t="str">
        <x:v>巡线周期</x:v>
      </x:c>
      <x:c r="E113" s="88" t="str">
        <x:v>segment</x:v>
      </x:c>
      <x:c r="F113" s="88" t="str">
        <x:v>number</x:v>
      </x:c>
      <x:c r="G113" s="88" t="str">
        <x:v>day</x:v>
      </x:c>
      <x:c r="H113" s="88" t="str">
        <x:v>CORRECTION_MODEL_CANDIDATE；SEGMENTATION</x:v>
      </x:c>
      <x:c r="I113" s="88" t="str">
        <x:v>third_party_damage</x:v>
      </x:c>
      <x:c r="J113" s="88" t="str">
        <x:v>engineering_indicators显式观测</x:v>
      </x:c>
      <x:c r="K113" s="89" t="str">
        <x:v>未判定</x:v>
      </x:c>
      <x:c r="L113" s="89"/>
      <x:c r="M113" s="89"/>
      <x:c r="N113" s="89"/>
      <x:c r="O113" s="90"/>
      <x:c r="P113" s="89"/>
      <x:c r="Q113" s="89"/>
      <x:c r="R113" s="89" t="str">
        <x:v>未审核</x:v>
      </x:c>
      <x:c r="S113" s="88" t="str">
        <x:f>IF(K113="未判定","未判定",IF(K113="不适用",IF(L113="","缺少不适用依据","已关闭"),IF(M113="","适用但缺值",IF(P113="","缺少来源",IF(Q113="","缺少填报人",IF(R113&lt;&gt;"已审核","待审核","完整"))))))</x:f>
        <x:v>未判定</x:v>
      </x:c>
      <x:c r="T113" s="88" t="str">
        <x:v>SY/T 6891.2-2020 表1 周边环境/运行维护、7、表4 第三方损坏；SY/T 6891.2-2020 附录C表C.1示例仅作数据源提示</x:v>
      </x:c>
    </x:row>
    <x:row r="114" ht="60" customHeight="1">
      <x:c r="A114" s="88" t="n">
        <x:v>110</x:v>
      </x:c>
      <x:c r="B114" s="88" t="str">
        <x:v>第三方损伤与占压活动</x:v>
      </x:c>
      <x:c r="C114" s="88" t="str">
        <x:v>third_party.patrol_completion_fraction</x:v>
      </x:c>
      <x:c r="D114" s="88" t="str">
        <x:v>巡线完成率</x:v>
      </x:c>
      <x:c r="E114" s="88" t="str">
        <x:v>segment</x:v>
      </x:c>
      <x:c r="F114" s="88" t="str">
        <x:v>number</x:v>
      </x:c>
      <x:c r="G114" s="88" t="str">
        <x:v>—</x:v>
      </x:c>
      <x:c r="H114" s="88" t="str">
        <x:v>CORRECTION_MODEL_CANDIDATE；SEGMENTATION</x:v>
      </x:c>
      <x:c r="I114" s="88" t="str">
        <x:v>third_party_damage</x:v>
      </x:c>
      <x:c r="J114" s="88" t="str">
        <x:v>engineering_indicators显式观测</x:v>
      </x:c>
      <x:c r="K114" s="89" t="str">
        <x:v>未判定</x:v>
      </x:c>
      <x:c r="L114" s="89"/>
      <x:c r="M114" s="89"/>
      <x:c r="N114" s="89"/>
      <x:c r="O114" s="90"/>
      <x:c r="P114" s="89"/>
      <x:c r="Q114" s="89"/>
      <x:c r="R114" s="89" t="str">
        <x:v>未审核</x:v>
      </x:c>
      <x:c r="S114" s="88" t="str">
        <x:f>IF(K114="未判定","未判定",IF(K114="不适用",IF(L114="","缺少不适用依据","已关闭"),IF(M114="","适用但缺值",IF(P114="","缺少来源",IF(Q114="","缺少填报人",IF(R114&lt;&gt;"已审核","待审核","完整"))))))</x:f>
        <x:v>未判定</x:v>
      </x:c>
      <x:c r="T114" s="88" t="str">
        <x:v>SY/T 6891.2-2020 表1 周边环境/运行维护、7、表4 第三方损坏；SY/T 6891.2-2020 附录C表C.1示例仅作数据源提示</x:v>
      </x:c>
    </x:row>
    <x:row r="115" ht="60" customHeight="1">
      <x:c r="A115" s="88" t="n">
        <x:v>111</x:v>
      </x:c>
      <x:c r="B115" s="88" t="str">
        <x:v>第三方损伤与占压活动</x:v>
      </x:c>
      <x:c r="C115" s="88" t="str">
        <x:v>third_party.marker_density_per_km</x:v>
      </x:c>
      <x:c r="D115" s="88" t="str">
        <x:v>标志桩密度</x:v>
      </x:c>
      <x:c r="E115" s="88" t="str">
        <x:v>segment</x:v>
      </x:c>
      <x:c r="F115" s="88" t="str">
        <x:v>number</x:v>
      </x:c>
      <x:c r="G115" s="88" t="str">
        <x:v>1/km</x:v>
      </x:c>
      <x:c r="H115" s="88" t="str">
        <x:v>CORRECTION_MODEL_CANDIDATE；SEGMENTATION</x:v>
      </x:c>
      <x:c r="I115" s="88" t="str">
        <x:v>third_party_damage</x:v>
      </x:c>
      <x:c r="J115" s="88" t="str">
        <x:v>engineering_indicators显式观测</x:v>
      </x:c>
      <x:c r="K115" s="89" t="str">
        <x:v>未判定</x:v>
      </x:c>
      <x:c r="L115" s="89"/>
      <x:c r="M115" s="89"/>
      <x:c r="N115" s="89"/>
      <x:c r="O115" s="90"/>
      <x:c r="P115" s="89"/>
      <x:c r="Q115" s="89"/>
      <x:c r="R115" s="89" t="str">
        <x:v>未审核</x:v>
      </x:c>
      <x:c r="S115" s="88" t="str">
        <x:f>IF(K115="未判定","未判定",IF(K115="不适用",IF(L115="","缺少不适用依据","已关闭"),IF(M115="","适用但缺值",IF(P115="","缺少来源",IF(Q115="","缺少填报人",IF(R115&lt;&gt;"已审核","待审核","完整"))))))</x:f>
        <x:v>未判定</x:v>
      </x:c>
      <x:c r="T115" s="88" t="str">
        <x:v>SY/T 6891.2-2020 表1 周边环境/运行维护、7、表4 第三方损坏；SY/T 6891.2-2020 附录C表C.1示例仅作数据源提示</x:v>
      </x:c>
    </x:row>
    <x:row r="116" ht="60" customHeight="1">
      <x:c r="A116" s="88" t="n">
        <x:v>112</x:v>
      </x:c>
      <x:c r="B116" s="88" t="str">
        <x:v>第三方损伤与占压活动</x:v>
      </x:c>
      <x:c r="C116" s="88" t="str">
        <x:v>third_party.marker_condition_fraction</x:v>
      </x:c>
      <x:c r="D116" s="88" t="str">
        <x:v>标志完好率</x:v>
      </x:c>
      <x:c r="E116" s="88" t="str">
        <x:v>segment</x:v>
      </x:c>
      <x:c r="F116" s="88" t="str">
        <x:v>number</x:v>
      </x:c>
      <x:c r="G116" s="88" t="str">
        <x:v>—</x:v>
      </x:c>
      <x:c r="H116" s="88" t="str">
        <x:v>CORRECTION_MODEL_CANDIDATE；SEGMENTATION</x:v>
      </x:c>
      <x:c r="I116" s="88" t="str">
        <x:v>third_party_damage</x:v>
      </x:c>
      <x:c r="J116" s="88" t="str">
        <x:v>engineering_indicators显式观测</x:v>
      </x:c>
      <x:c r="K116" s="89" t="str">
        <x:v>未判定</x:v>
      </x:c>
      <x:c r="L116" s="89"/>
      <x:c r="M116" s="89"/>
      <x:c r="N116" s="89"/>
      <x:c r="O116" s="90"/>
      <x:c r="P116" s="89"/>
      <x:c r="Q116" s="89"/>
      <x:c r="R116" s="89" t="str">
        <x:v>未审核</x:v>
      </x:c>
      <x:c r="S116" s="88" t="str">
        <x:f>IF(K116="未判定","未判定",IF(K116="不适用",IF(L116="","缺少不适用依据","已关闭"),IF(M116="","适用但缺值",IF(P116="","缺少来源",IF(Q116="","缺少填报人",IF(R116&lt;&gt;"已审核","待审核","完整"))))))</x:f>
        <x:v>未判定</x:v>
      </x:c>
      <x:c r="T116" s="88" t="str">
        <x:v>SY/T 6891.2-2020 表1 周边环境/运行维护、7、表4 第三方损坏；SY/T 6891.2-2020 附录C表C.1示例仅作数据源提示</x:v>
      </x:c>
    </x:row>
    <x:row r="117" ht="60" customHeight="1">
      <x:c r="A117" s="88" t="n">
        <x:v>113</x:v>
      </x:c>
      <x:c r="B117" s="88" t="str">
        <x:v>第三方损伤与占压活动</x:v>
      </x:c>
      <x:c r="C117" s="88" t="str">
        <x:v>third_party.public_awareness_activities_per_year</x:v>
      </x:c>
      <x:c r="D117" s="88" t="str">
        <x:v>管道保护宣传次数</x:v>
      </x:c>
      <x:c r="E117" s="88" t="str">
        <x:v>segment</x:v>
      </x:c>
      <x:c r="F117" s="88" t="str">
        <x:v>number</x:v>
      </x:c>
      <x:c r="G117" s="88" t="str">
        <x:v>1/year</x:v>
      </x:c>
      <x:c r="H117" s="88" t="str">
        <x:v>CORRECTION_MODEL_CANDIDATE；SEGMENTATION</x:v>
      </x:c>
      <x:c r="I117" s="88" t="str">
        <x:v>third_party_damage</x:v>
      </x:c>
      <x:c r="J117" s="88" t="str">
        <x:v>engineering_indicators显式观测</x:v>
      </x:c>
      <x:c r="K117" s="89" t="str">
        <x:v>未判定</x:v>
      </x:c>
      <x:c r="L117" s="89"/>
      <x:c r="M117" s="89"/>
      <x:c r="N117" s="89"/>
      <x:c r="O117" s="90"/>
      <x:c r="P117" s="89"/>
      <x:c r="Q117" s="89"/>
      <x:c r="R117" s="89" t="str">
        <x:v>未审核</x:v>
      </x:c>
      <x:c r="S117" s="88" t="str">
        <x:f>IF(K117="未判定","未判定",IF(K117="不适用",IF(L117="","缺少不适用依据","已关闭"),IF(M117="","适用但缺值",IF(P117="","缺少来源",IF(Q117="","缺少填报人",IF(R117&lt;&gt;"已审核","待审核","完整"))))))</x:f>
        <x:v>未判定</x:v>
      </x:c>
      <x:c r="T117" s="88" t="str">
        <x:v>SY/T 6891.2-2020 表1 周边环境/运行维护、7、表4 第三方损坏；SY/T 6891.2-2020 附录C表C.1示例仅作数据源提示</x:v>
      </x:c>
    </x:row>
    <x:row r="118" ht="60" customHeight="1">
      <x:c r="A118" s="88" t="n">
        <x:v>114</x:v>
      </x:c>
      <x:c r="B118" s="88" t="str">
        <x:v>第三方损伤与占压活动</x:v>
      </x:c>
      <x:c r="C118" s="88" t="str">
        <x:v>third_party.one_call_system_available</x:v>
      </x:c>
      <x:c r="D118" s="88" t="str">
        <x:v>施工信息协同机制可用</x:v>
      </x:c>
      <x:c r="E118" s="88" t="str">
        <x:v>segment</x:v>
      </x:c>
      <x:c r="F118" s="88" t="str">
        <x:v>boolean</x:v>
      </x:c>
      <x:c r="G118" s="88" t="str">
        <x:v>—</x:v>
      </x:c>
      <x:c r="H118" s="88" t="str">
        <x:v>CORRECTION_MODEL_CANDIDATE；SEGMENTATION</x:v>
      </x:c>
      <x:c r="I118" s="88" t="str">
        <x:v>third_party_damage</x:v>
      </x:c>
      <x:c r="J118" s="88" t="str">
        <x:v>engineering_indicators显式观测</x:v>
      </x:c>
      <x:c r="K118" s="89" t="str">
        <x:v>未判定</x:v>
      </x:c>
      <x:c r="L118" s="89"/>
      <x:c r="M118" s="89"/>
      <x:c r="N118" s="89"/>
      <x:c r="O118" s="90"/>
      <x:c r="P118" s="89"/>
      <x:c r="Q118" s="89"/>
      <x:c r="R118" s="89" t="str">
        <x:v>未审核</x:v>
      </x:c>
      <x:c r="S118" s="88" t="str">
        <x:f>IF(K118="未判定","未判定",IF(K118="不适用",IF(L118="","缺少不适用依据","已关闭"),IF(M118="","适用但缺值",IF(P118="","缺少来源",IF(Q118="","缺少填报人",IF(R118&lt;&gt;"已审核","待审核","完整"))))))</x:f>
        <x:v>未判定</x:v>
      </x:c>
      <x:c r="T118" s="88" t="str">
        <x:v>SY/T 6891.2-2020 表1 周边环境/运行维护、7、表4 第三方损坏；SY/T 6891.2-2020 附录C表C.1示例仅作数据源提示</x:v>
      </x:c>
    </x:row>
    <x:row r="119" ht="60" customHeight="1">
      <x:c r="A119" s="88" t="n">
        <x:v>115</x:v>
      </x:c>
      <x:c r="B119" s="88" t="str">
        <x:v>第三方损伤与占压活动</x:v>
      </x:c>
      <x:c r="C119" s="88" t="str">
        <x:v>third_party.third_party_damage_history_count</x:v>
      </x:c>
      <x:c r="D119" s="88" t="str">
        <x:v>第三方损伤历史次数</x:v>
      </x:c>
      <x:c r="E119" s="88" t="str">
        <x:v>segment</x:v>
      </x:c>
      <x:c r="F119" s="88" t="str">
        <x:v>integer</x:v>
      </x:c>
      <x:c r="G119" s="88" t="str">
        <x:v>count</x:v>
      </x:c>
      <x:c r="H119" s="88" t="str">
        <x:v>CORRECTION_MODEL_CANDIDATE；SEGMENTATION</x:v>
      </x:c>
      <x:c r="I119" s="88" t="str">
        <x:v>third_party_damage</x:v>
      </x:c>
      <x:c r="J119" s="88" t="str">
        <x:v>engineering_indicators显式观测</x:v>
      </x:c>
      <x:c r="K119" s="89" t="str">
        <x:v>未判定</x:v>
      </x:c>
      <x:c r="L119" s="89"/>
      <x:c r="M119" s="89"/>
      <x:c r="N119" s="89"/>
      <x:c r="O119" s="90"/>
      <x:c r="P119" s="89"/>
      <x:c r="Q119" s="89"/>
      <x:c r="R119" s="89" t="str">
        <x:v>未审核</x:v>
      </x:c>
      <x:c r="S119" s="88" t="str">
        <x:f>IF(K119="未判定","未判定",IF(K119="不适用",IF(L119="","缺少不适用依据","已关闭"),IF(M119="","适用但缺值",IF(P119="","缺少来源",IF(Q119="","缺少填报人",IF(R119&lt;&gt;"已审核","待审核","完整"))))))</x:f>
        <x:v>未判定</x:v>
      </x:c>
      <x:c r="T119" s="88" t="str">
        <x:v>SY/T 6891.2-2020 表1 周边环境/运行维护、7、表4 第三方损坏；SY/T 6891.2-2020 附录C表C.1示例仅作数据源提示</x:v>
      </x:c>
    </x:row>
    <x:row r="120" ht="60" customHeight="1">
      <x:c r="A120" s="88" t="n">
        <x:v>116</x:v>
      </x:c>
      <x:c r="B120" s="88" t="str">
        <x:v>自然与地质灾害</x:v>
      </x:c>
      <x:c r="C120" s="88" t="str">
        <x:v>geohazard.slope_angle_deg</x:v>
      </x:c>
      <x:c r="D120" s="88" t="str">
        <x:v>坡度</x:v>
      </x:c>
      <x:c r="E120" s="88" t="str">
        <x:v>segment</x:v>
      </x:c>
      <x:c r="F120" s="88" t="str">
        <x:v>number</x:v>
      </x:c>
      <x:c r="G120" s="88" t="str">
        <x:v>deg</x:v>
      </x:c>
      <x:c r="H120" s="88" t="str">
        <x:v>CORRECTION_MODEL_CANDIDATE；SEGMENTATION；STRUCTURAL_RELIABILITY_INPUT</x:v>
      </x:c>
      <x:c r="I120" s="88" t="str">
        <x:v>natural_geohazard</x:v>
      </x:c>
      <x:c r="J120" s="88" t="str">
        <x:v>engineering_indicators显式观测</x:v>
      </x:c>
      <x:c r="K120" s="89" t="str">
        <x:v>未判定</x:v>
      </x:c>
      <x:c r="L120" s="89"/>
      <x:c r="M120" s="89"/>
      <x:c r="N120" s="89"/>
      <x:c r="O120" s="90"/>
      <x:c r="P120" s="89"/>
      <x:c r="Q120" s="89"/>
      <x:c r="R120" s="89" t="str">
        <x:v>未审核</x:v>
      </x:c>
      <x:c r="S120" s="88" t="str">
        <x:f>IF(K120="未判定","未判定",IF(K120="不适用",IF(L120="","缺少不适用依据","已关闭"),IF(M120="","适用但缺值",IF(P120="","缺少来源",IF(Q120="","缺少填报人",IF(R120&lt;&gt;"已审核","待审核","完整"))))))</x:f>
        <x:v>未判定</x:v>
      </x:c>
      <x:c r="T120" s="88" t="str">
        <x:v>SY/T 6891.2-2020 表1 周边环境/管道风险、7、表4 自然与地质灾害</x:v>
      </x:c>
    </x:row>
    <x:row r="121" ht="60" customHeight="1">
      <x:c r="A121" s="88" t="n">
        <x:v>117</x:v>
      </x:c>
      <x:c r="B121" s="88" t="str">
        <x:v>自然与地质灾害</x:v>
      </x:c>
      <x:c r="C121" s="88" t="str">
        <x:v>geohazard.landslide_susceptibility_index</x:v>
      </x:c>
      <x:c r="D121" s="88" t="str">
        <x:v>滑坡易发性指数</x:v>
      </x:c>
      <x:c r="E121" s="88" t="str">
        <x:v>segment</x:v>
      </x:c>
      <x:c r="F121" s="88" t="str">
        <x:v>number</x:v>
      </x:c>
      <x:c r="G121" s="88" t="str">
        <x:v>—</x:v>
      </x:c>
      <x:c r="H121" s="88" t="str">
        <x:v>CORRECTION_MODEL_CANDIDATE；SEGMENTATION；STRUCTURAL_RELIABILITY_INPUT</x:v>
      </x:c>
      <x:c r="I121" s="88" t="str">
        <x:v>natural_geohazard</x:v>
      </x:c>
      <x:c r="J121" s="88" t="str">
        <x:v>engineering_indicators显式观测</x:v>
      </x:c>
      <x:c r="K121" s="89" t="str">
        <x:v>未判定</x:v>
      </x:c>
      <x:c r="L121" s="89"/>
      <x:c r="M121" s="89"/>
      <x:c r="N121" s="89"/>
      <x:c r="O121" s="90"/>
      <x:c r="P121" s="89"/>
      <x:c r="Q121" s="89"/>
      <x:c r="R121" s="89" t="str">
        <x:v>未审核</x:v>
      </x:c>
      <x:c r="S121" s="88" t="str">
        <x:f>IF(K121="未判定","未判定",IF(K121="不适用",IF(L121="","缺少不适用依据","已关闭"),IF(M121="","适用但缺值",IF(P121="","缺少来源",IF(Q121="","缺少填报人",IF(R121&lt;&gt;"已审核","待审核","完整"))))))</x:f>
        <x:v>未判定</x:v>
      </x:c>
      <x:c r="T121" s="88" t="str">
        <x:v>SY/T 6891.2-2020 表1 周边环境/管道风险、7、表4 自然与地质灾害</x:v>
      </x:c>
    </x:row>
    <x:row r="122" ht="60" customHeight="1">
      <x:c r="A122" s="88" t="n">
        <x:v>118</x:v>
      </x:c>
      <x:c r="B122" s="88" t="str">
        <x:v>自然与地质灾害</x:v>
      </x:c>
      <x:c r="C122" s="88" t="str">
        <x:v>geohazard.landslide_displacement_rate_mm_year</x:v>
      </x:c>
      <x:c r="D122" s="88" t="str">
        <x:v>滑坡位移速率</x:v>
      </x:c>
      <x:c r="E122" s="88" t="str">
        <x:v>segment</x:v>
      </x:c>
      <x:c r="F122" s="88" t="str">
        <x:v>number</x:v>
      </x:c>
      <x:c r="G122" s="88" t="str">
        <x:v>mm/year</x:v>
      </x:c>
      <x:c r="H122" s="88" t="str">
        <x:v>CORRECTION_MODEL_CANDIDATE；SEGMENTATION；STRUCTURAL_RELIABILITY_INPUT</x:v>
      </x:c>
      <x:c r="I122" s="88" t="str">
        <x:v>natural_geohazard</x:v>
      </x:c>
      <x:c r="J122" s="88" t="str">
        <x:v>engineering_indicators显式观测</x:v>
      </x:c>
      <x:c r="K122" s="89" t="str">
        <x:v>未判定</x:v>
      </x:c>
      <x:c r="L122" s="89"/>
      <x:c r="M122" s="89"/>
      <x:c r="N122" s="89"/>
      <x:c r="O122" s="90"/>
      <x:c r="P122" s="89"/>
      <x:c r="Q122" s="89"/>
      <x:c r="R122" s="89" t="str">
        <x:v>未审核</x:v>
      </x:c>
      <x:c r="S122" s="88" t="str">
        <x:f>IF(K122="未判定","未判定",IF(K122="不适用",IF(L122="","缺少不适用依据","已关闭"),IF(M122="","适用但缺值",IF(P122="","缺少来源",IF(Q122="","缺少填报人",IF(R122&lt;&gt;"已审核","待审核","完整"))))))</x:f>
        <x:v>未判定</x:v>
      </x:c>
      <x:c r="T122" s="88" t="str">
        <x:v>SY/T 6891.2-2020 表1 周边环境/管道风险、7、表4 自然与地质灾害</x:v>
      </x:c>
    </x:row>
    <x:row r="123" ht="60" customHeight="1">
      <x:c r="A123" s="88" t="n">
        <x:v>119</x:v>
      </x:c>
      <x:c r="B123" s="88" t="str">
        <x:v>自然与地质灾害</x:v>
      </x:c>
      <x:c r="C123" s="88" t="str">
        <x:v>geohazard.subsidence_rate_mm_year</x:v>
      </x:c>
      <x:c r="D123" s="88" t="str">
        <x:v>地面沉降速率</x:v>
      </x:c>
      <x:c r="E123" s="88" t="str">
        <x:v>segment</x:v>
      </x:c>
      <x:c r="F123" s="88" t="str">
        <x:v>number</x:v>
      </x:c>
      <x:c r="G123" s="88" t="str">
        <x:v>mm/year</x:v>
      </x:c>
      <x:c r="H123" s="88" t="str">
        <x:v>CORRECTION_MODEL_CANDIDATE；SEGMENTATION；STRUCTURAL_RELIABILITY_INPUT</x:v>
      </x:c>
      <x:c r="I123" s="88" t="str">
        <x:v>natural_geohazard</x:v>
      </x:c>
      <x:c r="J123" s="88" t="str">
        <x:v>engineering_indicators显式观测</x:v>
      </x:c>
      <x:c r="K123" s="89" t="str">
        <x:v>未判定</x:v>
      </x:c>
      <x:c r="L123" s="89"/>
      <x:c r="M123" s="89"/>
      <x:c r="N123" s="89"/>
      <x:c r="O123" s="90"/>
      <x:c r="P123" s="89"/>
      <x:c r="Q123" s="89"/>
      <x:c r="R123" s="89" t="str">
        <x:v>未审核</x:v>
      </x:c>
      <x:c r="S123" s="88" t="str">
        <x:f>IF(K123="未判定","未判定",IF(K123="不适用",IF(L123="","缺少不适用依据","已关闭"),IF(M123="","适用但缺值",IF(P123="","缺少来源",IF(Q123="","缺少填报人",IF(R123&lt;&gt;"已审核","待审核","完整"))))))</x:f>
        <x:v>未判定</x:v>
      </x:c>
      <x:c r="T123" s="88" t="str">
        <x:v>SY/T 6891.2-2020 表1 周边环境/管道风险、7、表4 自然与地质灾害</x:v>
      </x:c>
    </x:row>
    <x:row r="124" ht="60" customHeight="1">
      <x:c r="A124" s="88" t="n">
        <x:v>120</x:v>
      </x:c>
      <x:c r="B124" s="88" t="str">
        <x:v>自然与地质灾害</x:v>
      </x:c>
      <x:c r="C124" s="88" t="str">
        <x:v>geohazard.fault_crossing_present</x:v>
      </x:c>
      <x:c r="D124" s="88" t="str">
        <x:v>活动断层穿越</x:v>
      </x:c>
      <x:c r="E124" s="88" t="str">
        <x:v>segment</x:v>
      </x:c>
      <x:c r="F124" s="88" t="str">
        <x:v>boolean</x:v>
      </x:c>
      <x:c r="G124" s="88" t="str">
        <x:v>—</x:v>
      </x:c>
      <x:c r="H124" s="88" t="str">
        <x:v>CORRECTION_MODEL_CANDIDATE；SEGMENTATION；STRUCTURAL_RELIABILITY_INPUT</x:v>
      </x:c>
      <x:c r="I124" s="88" t="str">
        <x:v>natural_geohazard</x:v>
      </x:c>
      <x:c r="J124" s="88" t="str">
        <x:v>engineering_indicators显式观测</x:v>
      </x:c>
      <x:c r="K124" s="89" t="str">
        <x:v>未判定</x:v>
      </x:c>
      <x:c r="L124" s="89"/>
      <x:c r="M124" s="89"/>
      <x:c r="N124" s="89"/>
      <x:c r="O124" s="90"/>
      <x:c r="P124" s="89"/>
      <x:c r="Q124" s="89"/>
      <x:c r="R124" s="89" t="str">
        <x:v>未审核</x:v>
      </x:c>
      <x:c r="S124" s="88" t="str">
        <x:f>IF(K124="未判定","未判定",IF(K124="不适用",IF(L124="","缺少不适用依据","已关闭"),IF(M124="","适用但缺值",IF(P124="","缺少来源",IF(Q124="","缺少填报人",IF(R124&lt;&gt;"已审核","待审核","完整"))))))</x:f>
        <x:v>未判定</x:v>
      </x:c>
      <x:c r="T124" s="88" t="str">
        <x:v>SY/T 6891.2-2020 表1 周边环境/管道风险、7、表4 自然与地质灾害</x:v>
      </x:c>
    </x:row>
    <x:row r="125" ht="60" customHeight="1">
      <x:c r="A125" s="88" t="n">
        <x:v>121</x:v>
      </x:c>
      <x:c r="B125" s="88" t="str">
        <x:v>自然与地质灾害</x:v>
      </x:c>
      <x:c r="C125" s="88" t="str">
        <x:v>geohazard.seismic_peak_ground_acceleration_g</x:v>
      </x:c>
      <x:c r="D125" s="88" t="str">
        <x:v>峰值地震加速度</x:v>
      </x:c>
      <x:c r="E125" s="88" t="str">
        <x:v>segment</x:v>
      </x:c>
      <x:c r="F125" s="88" t="str">
        <x:v>number</x:v>
      </x:c>
      <x:c r="G125" s="88" t="str">
        <x:v>g</x:v>
      </x:c>
      <x:c r="H125" s="88" t="str">
        <x:v>CORRECTION_MODEL_CANDIDATE；SEGMENTATION；STRUCTURAL_RELIABILITY_INPUT</x:v>
      </x:c>
      <x:c r="I125" s="88" t="str">
        <x:v>natural_geohazard</x:v>
      </x:c>
      <x:c r="J125" s="88" t="str">
        <x:v>engineering_indicators显式观测</x:v>
      </x:c>
      <x:c r="K125" s="89" t="str">
        <x:v>未判定</x:v>
      </x:c>
      <x:c r="L125" s="89"/>
      <x:c r="M125" s="89"/>
      <x:c r="N125" s="89"/>
      <x:c r="O125" s="90"/>
      <x:c r="P125" s="89"/>
      <x:c r="Q125" s="89"/>
      <x:c r="R125" s="89" t="str">
        <x:v>未审核</x:v>
      </x:c>
      <x:c r="S125" s="88" t="str">
        <x:f>IF(K125="未判定","未判定",IF(K125="不适用",IF(L125="","缺少不适用依据","已关闭"),IF(M125="","适用但缺值",IF(P125="","缺少来源",IF(Q125="","缺少填报人",IF(R125&lt;&gt;"已审核","待审核","完整"))))))</x:f>
        <x:v>未判定</x:v>
      </x:c>
      <x:c r="T125" s="88" t="str">
        <x:v>SY/T 6891.2-2020 表1 周边环境/管道风险、7、表4 自然与地质灾害</x:v>
      </x:c>
    </x:row>
    <x:row r="126" ht="60" customHeight="1">
      <x:c r="A126" s="88" t="n">
        <x:v>122</x:v>
      </x:c>
      <x:c r="B126" s="88" t="str">
        <x:v>自然与地质灾害</x:v>
      </x:c>
      <x:c r="C126" s="88" t="str">
        <x:v>geohazard.liquefaction_susceptibility_index</x:v>
      </x:c>
      <x:c r="D126" s="88" t="str">
        <x:v>液化易发性指数</x:v>
      </x:c>
      <x:c r="E126" s="88" t="str">
        <x:v>segment</x:v>
      </x:c>
      <x:c r="F126" s="88" t="str">
        <x:v>number</x:v>
      </x:c>
      <x:c r="G126" s="88" t="str">
        <x:v>—</x:v>
      </x:c>
      <x:c r="H126" s="88" t="str">
        <x:v>CORRECTION_MODEL_CANDIDATE；SEGMENTATION；STRUCTURAL_RELIABILITY_INPUT</x:v>
      </x:c>
      <x:c r="I126" s="88" t="str">
        <x:v>natural_geohazard</x:v>
      </x:c>
      <x:c r="J126" s="88" t="str">
        <x:v>engineering_indicators显式观测</x:v>
      </x:c>
      <x:c r="K126" s="89" t="str">
        <x:v>未判定</x:v>
      </x:c>
      <x:c r="L126" s="89"/>
      <x:c r="M126" s="89"/>
      <x:c r="N126" s="89"/>
      <x:c r="O126" s="90"/>
      <x:c r="P126" s="89"/>
      <x:c r="Q126" s="89"/>
      <x:c r="R126" s="89" t="str">
        <x:v>未审核</x:v>
      </x:c>
      <x:c r="S126" s="88" t="str">
        <x:f>IF(K126="未判定","未判定",IF(K126="不适用",IF(L126="","缺少不适用依据","已关闭"),IF(M126="","适用但缺值",IF(P126="","缺少来源",IF(Q126="","缺少填报人",IF(R126&lt;&gt;"已审核","待审核","完整"))))))</x:f>
        <x:v>未判定</x:v>
      </x:c>
      <x:c r="T126" s="88" t="str">
        <x:v>SY/T 6891.2-2020 表1 周边环境/管道风险、7、表4 自然与地质灾害</x:v>
      </x:c>
    </x:row>
    <x:row r="127" ht="60" customHeight="1">
      <x:c r="A127" s="88" t="n">
        <x:v>123</x:v>
      </x:c>
      <x:c r="B127" s="88" t="str">
        <x:v>自然与地质灾害</x:v>
      </x:c>
      <x:c r="C127" s="88" t="str">
        <x:v>geohazard.flood_frequency_per_year</x:v>
      </x:c>
      <x:c r="D127" s="88" t="str">
        <x:v>洪水年发生频率</x:v>
      </x:c>
      <x:c r="E127" s="88" t="str">
        <x:v>segment</x:v>
      </x:c>
      <x:c r="F127" s="88" t="str">
        <x:v>number</x:v>
      </x:c>
      <x:c r="G127" s="88" t="str">
        <x:v>1/year</x:v>
      </x:c>
      <x:c r="H127" s="88" t="str">
        <x:v>CORRECTION_MODEL_CANDIDATE；SEGMENTATION；STRUCTURAL_RELIABILITY_INPUT</x:v>
      </x:c>
      <x:c r="I127" s="88" t="str">
        <x:v>natural_geohazard</x:v>
      </x:c>
      <x:c r="J127" s="88" t="str">
        <x:v>engineering_indicators显式观测</x:v>
      </x:c>
      <x:c r="K127" s="89" t="str">
        <x:v>未判定</x:v>
      </x:c>
      <x:c r="L127" s="89"/>
      <x:c r="M127" s="89"/>
      <x:c r="N127" s="89"/>
      <x:c r="O127" s="90"/>
      <x:c r="P127" s="89"/>
      <x:c r="Q127" s="89"/>
      <x:c r="R127" s="89" t="str">
        <x:v>未审核</x:v>
      </x:c>
      <x:c r="S127" s="88" t="str">
        <x:f>IF(K127="未判定","未判定",IF(K127="不适用",IF(L127="","缺少不适用依据","已关闭"),IF(M127="","适用但缺值",IF(P127="","缺少来源",IF(Q127="","缺少填报人",IF(R127&lt;&gt;"已审核","待审核","完整"))))))</x:f>
        <x:v>未判定</x:v>
      </x:c>
      <x:c r="T127" s="88" t="str">
        <x:v>SY/T 6891.2-2020 表1 周边环境/管道风险、7、表4 自然与地质灾害</x:v>
      </x:c>
    </x:row>
    <x:row r="128" ht="60" customHeight="1">
      <x:c r="A128" s="88" t="n">
        <x:v>124</x:v>
      </x:c>
      <x:c r="B128" s="88" t="str">
        <x:v>自然与地质灾害</x:v>
      </x:c>
      <x:c r="C128" s="88" t="str">
        <x:v>geohazard.maximum_scour_depth_m</x:v>
      </x:c>
      <x:c r="D128" s="88" t="str">
        <x:v>最大冲刷深度</x:v>
      </x:c>
      <x:c r="E128" s="88" t="str">
        <x:v>segment</x:v>
      </x:c>
      <x:c r="F128" s="88" t="str">
        <x:v>number</x:v>
      </x:c>
      <x:c r="G128" s="88" t="str">
        <x:v>m</x:v>
      </x:c>
      <x:c r="H128" s="88" t="str">
        <x:v>CORRECTION_MODEL_CANDIDATE；SEGMENTATION；STRUCTURAL_RELIABILITY_INPUT</x:v>
      </x:c>
      <x:c r="I128" s="88" t="str">
        <x:v>natural_geohazard</x:v>
      </x:c>
      <x:c r="J128" s="88" t="str">
        <x:v>engineering_indicators显式观测</x:v>
      </x:c>
      <x:c r="K128" s="89" t="str">
        <x:v>未判定</x:v>
      </x:c>
      <x:c r="L128" s="89"/>
      <x:c r="M128" s="89"/>
      <x:c r="N128" s="89"/>
      <x:c r="O128" s="90"/>
      <x:c r="P128" s="89"/>
      <x:c r="Q128" s="89"/>
      <x:c r="R128" s="89" t="str">
        <x:v>未审核</x:v>
      </x:c>
      <x:c r="S128" s="88" t="str">
        <x:f>IF(K128="未判定","未判定",IF(K128="不适用",IF(L128="","缺少不适用依据","已关闭"),IF(M128="","适用但缺值",IF(P128="","缺少来源",IF(Q128="","缺少填报人",IF(R128&lt;&gt;"已审核","待审核","完整"))))))</x:f>
        <x:v>未判定</x:v>
      </x:c>
      <x:c r="T128" s="88" t="str">
        <x:v>SY/T 6891.2-2020 表1 周边环境/管道风险、7、表4 自然与地质灾害</x:v>
      </x:c>
    </x:row>
    <x:row r="129" ht="60" customHeight="1">
      <x:c r="A129" s="88" t="n">
        <x:v>125</x:v>
      </x:c>
      <x:c r="B129" s="88" t="str">
        <x:v>自然与地质灾害</x:v>
      </x:c>
      <x:c r="C129" s="88" t="str">
        <x:v>geohazard.river_migration_rate_m_year</x:v>
      </x:c>
      <x:c r="D129" s="88" t="str">
        <x:v>河道摆动速率</x:v>
      </x:c>
      <x:c r="E129" s="88" t="str">
        <x:v>segment</x:v>
      </x:c>
      <x:c r="F129" s="88" t="str">
        <x:v>number</x:v>
      </x:c>
      <x:c r="G129" s="88" t="str">
        <x:v>m/year</x:v>
      </x:c>
      <x:c r="H129" s="88" t="str">
        <x:v>CORRECTION_MODEL_CANDIDATE；SEGMENTATION；STRUCTURAL_RELIABILITY_INPUT</x:v>
      </x:c>
      <x:c r="I129" s="88" t="str">
        <x:v>natural_geohazard</x:v>
      </x:c>
      <x:c r="J129" s="88" t="str">
        <x:v>engineering_indicators显式观测</x:v>
      </x:c>
      <x:c r="K129" s="89" t="str">
        <x:v>未判定</x:v>
      </x:c>
      <x:c r="L129" s="89"/>
      <x:c r="M129" s="89"/>
      <x:c r="N129" s="89"/>
      <x:c r="O129" s="90"/>
      <x:c r="P129" s="89"/>
      <x:c r="Q129" s="89"/>
      <x:c r="R129" s="89" t="str">
        <x:v>未审核</x:v>
      </x:c>
      <x:c r="S129" s="88" t="str">
        <x:f>IF(K129="未判定","未判定",IF(K129="不适用",IF(L129="","缺少不适用依据","已关闭"),IF(M129="","适用但缺值",IF(P129="","缺少来源",IF(Q129="","缺少填报人",IF(R129&lt;&gt;"已审核","待审核","完整"))))))</x:f>
        <x:v>未判定</x:v>
      </x:c>
      <x:c r="T129" s="88" t="str">
        <x:v>SY/T 6891.2-2020 表1 周边环境/管道风险、7、表4 自然与地质灾害</x:v>
      </x:c>
    </x:row>
    <x:row r="130" ht="60" customHeight="1">
      <x:c r="A130" s="88" t="n">
        <x:v>126</x:v>
      </x:c>
      <x:c r="B130" s="88" t="str">
        <x:v>自然与地质灾害</x:v>
      </x:c>
      <x:c r="C130" s="88" t="str">
        <x:v>geohazard.debris_flow_susceptibility_index</x:v>
      </x:c>
      <x:c r="D130" s="88" t="str">
        <x:v>泥石流易发性指数</x:v>
      </x:c>
      <x:c r="E130" s="88" t="str">
        <x:v>segment</x:v>
      </x:c>
      <x:c r="F130" s="88" t="str">
        <x:v>number</x:v>
      </x:c>
      <x:c r="G130" s="88" t="str">
        <x:v>—</x:v>
      </x:c>
      <x:c r="H130" s="88" t="str">
        <x:v>CORRECTION_MODEL_CANDIDATE；SEGMENTATION；STRUCTURAL_RELIABILITY_INPUT</x:v>
      </x:c>
      <x:c r="I130" s="88" t="str">
        <x:v>natural_geohazard</x:v>
      </x:c>
      <x:c r="J130" s="88" t="str">
        <x:v>engineering_indicators显式观测</x:v>
      </x:c>
      <x:c r="K130" s="89" t="str">
        <x:v>未判定</x:v>
      </x:c>
      <x:c r="L130" s="89"/>
      <x:c r="M130" s="89"/>
      <x:c r="N130" s="89"/>
      <x:c r="O130" s="90"/>
      <x:c r="P130" s="89"/>
      <x:c r="Q130" s="89"/>
      <x:c r="R130" s="89" t="str">
        <x:v>未审核</x:v>
      </x:c>
      <x:c r="S130" s="88" t="str">
        <x:f>IF(K130="未判定","未判定",IF(K130="不适用",IF(L130="","缺少不适用依据","已关闭"),IF(M130="","适用但缺值",IF(P130="","缺少来源",IF(Q130="","缺少填报人",IF(R130&lt;&gt;"已审核","待审核","完整"))))))</x:f>
        <x:v>未判定</x:v>
      </x:c>
      <x:c r="T130" s="88" t="str">
        <x:v>SY/T 6891.2-2020 表1 周边环境/管道风险、7、表4 自然与地质灾害</x:v>
      </x:c>
    </x:row>
    <x:row r="131" ht="60" customHeight="1">
      <x:c r="A131" s="88" t="n">
        <x:v>127</x:v>
      </x:c>
      <x:c r="B131" s="88" t="str">
        <x:v>自然与地质灾害</x:v>
      </x:c>
      <x:c r="C131" s="88" t="str">
        <x:v>geohazard.permafrost_thaw_settlement_rate</x:v>
      </x:c>
      <x:c r="D131" s="88" t="str">
        <x:v>冻土融沉速率</x:v>
      </x:c>
      <x:c r="E131" s="88" t="str">
        <x:v>segment</x:v>
      </x:c>
      <x:c r="F131" s="88" t="str">
        <x:v>number</x:v>
      </x:c>
      <x:c r="G131" s="88" t="str">
        <x:v>mm/year</x:v>
      </x:c>
      <x:c r="H131" s="88" t="str">
        <x:v>CORRECTION_MODEL_CANDIDATE；SEGMENTATION；STRUCTURAL_RELIABILITY_INPUT</x:v>
      </x:c>
      <x:c r="I131" s="88" t="str">
        <x:v>natural_geohazard</x:v>
      </x:c>
      <x:c r="J131" s="88" t="str">
        <x:v>engineering_indicators显式观测</x:v>
      </x:c>
      <x:c r="K131" s="89" t="str">
        <x:v>未判定</x:v>
      </x:c>
      <x:c r="L131" s="89"/>
      <x:c r="M131" s="89"/>
      <x:c r="N131" s="89"/>
      <x:c r="O131" s="90"/>
      <x:c r="P131" s="89"/>
      <x:c r="Q131" s="89"/>
      <x:c r="R131" s="89" t="str">
        <x:v>未审核</x:v>
      </x:c>
      <x:c r="S131" s="88" t="str">
        <x:f>IF(K131="未判定","未判定",IF(K131="不适用",IF(L131="","缺少不适用依据","已关闭"),IF(M131="","适用但缺值",IF(P131="","缺少来源",IF(Q131="","缺少填报人",IF(R131&lt;&gt;"已审核","待审核","完整"))))))</x:f>
        <x:v>未判定</x:v>
      </x:c>
      <x:c r="T131" s="88" t="str">
        <x:v>SY/T 6891.2-2020 表1 周边环境/管道风险、7、表4 自然与地质灾害</x:v>
      </x:c>
    </x:row>
    <x:row r="132" ht="60" customHeight="1">
      <x:c r="A132" s="88" t="n">
        <x:v>128</x:v>
      </x:c>
      <x:c r="B132" s="88" t="str">
        <x:v>自然与地质灾害</x:v>
      </x:c>
      <x:c r="C132" s="88" t="str">
        <x:v>geohazard.geohazard_monitoring_coverage_fraction</x:v>
      </x:c>
      <x:c r="D132" s="88" t="str">
        <x:v>灾害监测覆盖率</x:v>
      </x:c>
      <x:c r="E132" s="88" t="str">
        <x:v>segment</x:v>
      </x:c>
      <x:c r="F132" s="88" t="str">
        <x:v>number</x:v>
      </x:c>
      <x:c r="G132" s="88" t="str">
        <x:v>—</x:v>
      </x:c>
      <x:c r="H132" s="88" t="str">
        <x:v>CORRECTION_MODEL_CANDIDATE；SEGMENTATION；STRUCTURAL_RELIABILITY_INPUT</x:v>
      </x:c>
      <x:c r="I132" s="88" t="str">
        <x:v>natural_geohazard</x:v>
      </x:c>
      <x:c r="J132" s="88" t="str">
        <x:v>engineering_indicators显式观测</x:v>
      </x:c>
      <x:c r="K132" s="89" t="str">
        <x:v>未判定</x:v>
      </x:c>
      <x:c r="L132" s="89"/>
      <x:c r="M132" s="89"/>
      <x:c r="N132" s="89"/>
      <x:c r="O132" s="90"/>
      <x:c r="P132" s="89"/>
      <x:c r="Q132" s="89"/>
      <x:c r="R132" s="89" t="str">
        <x:v>未审核</x:v>
      </x:c>
      <x:c r="S132" s="88" t="str">
        <x:f>IF(K132="未判定","未判定",IF(K132="不适用",IF(L132="","缺少不适用依据","已关闭"),IF(M132="","适用但缺值",IF(P132="","缺少来源",IF(Q132="","缺少填报人",IF(R132&lt;&gt;"已审核","待审核","完整"))))))</x:f>
        <x:v>未判定</x:v>
      </x:c>
      <x:c r="T132" s="88" t="str">
        <x:v>SY/T 6891.2-2020 表1 周边环境/管道风险、7、表4 自然与地质灾害</x:v>
      </x:c>
    </x:row>
    <x:row r="133" ht="60" customHeight="1">
      <x:c r="A133" s="88" t="n">
        <x:v>129</x:v>
      </x:c>
      <x:c r="B133" s="88" t="str">
        <x:v>自然与地质灾害</x:v>
      </x:c>
      <x:c r="C133" s="88" t="str">
        <x:v>geohazard.geohazard_mitigation_condition</x:v>
      </x:c>
      <x:c r="D133" s="88" t="str">
        <x:v>灾害治理工程状态</x:v>
      </x:c>
      <x:c r="E133" s="88" t="str">
        <x:v>segment</x:v>
      </x:c>
      <x:c r="F133" s="88" t="str">
        <x:v>string</x:v>
      </x:c>
      <x:c r="G133" s="88" t="str">
        <x:v>—</x:v>
      </x:c>
      <x:c r="H133" s="88" t="str">
        <x:v>CORRECTION_MODEL_CANDIDATE；SEGMENTATION；STRUCTURAL_RELIABILITY_INPUT</x:v>
      </x:c>
      <x:c r="I133" s="88" t="str">
        <x:v>natural_geohazard</x:v>
      </x:c>
      <x:c r="J133" s="88" t="str">
        <x:v>engineering_indicators显式观测</x:v>
      </x:c>
      <x:c r="K133" s="89" t="str">
        <x:v>未判定</x:v>
      </x:c>
      <x:c r="L133" s="89"/>
      <x:c r="M133" s="89"/>
      <x:c r="N133" s="89"/>
      <x:c r="O133" s="90"/>
      <x:c r="P133" s="89"/>
      <x:c r="Q133" s="89"/>
      <x:c r="R133" s="89" t="str">
        <x:v>未审核</x:v>
      </x:c>
      <x:c r="S133" s="88" t="str">
        <x:f>IF(K133="未判定","未判定",IF(K133="不适用",IF(L133="","缺少不适用依据","已关闭"),IF(M133="","适用但缺值",IF(P133="","缺少来源",IF(Q133="","缺少填报人",IF(R133&lt;&gt;"已审核","待审核","完整"))))))</x:f>
        <x:v>未判定</x:v>
      </x:c>
      <x:c r="T133" s="88" t="str">
        <x:v>SY/T 6891.2-2020 表1 周边环境/管道风险、7、表4 自然与地质灾害</x:v>
      </x:c>
    </x:row>
    <x:row r="134" ht="60" customHeight="1">
      <x:c r="A134" s="88" t="n">
        <x:v>130</x:v>
      </x:c>
      <x:c r="B134" s="88" t="str">
        <x:v>自然与地质灾害</x:v>
      </x:c>
      <x:c r="C134" s="88" t="str">
        <x:v>geohazard.geohazard_failure_history_count</x:v>
      </x:c>
      <x:c r="D134" s="88" t="str">
        <x:v>地质灾害历史失效次数</x:v>
      </x:c>
      <x:c r="E134" s="88" t="str">
        <x:v>segment</x:v>
      </x:c>
      <x:c r="F134" s="88" t="str">
        <x:v>integer</x:v>
      </x:c>
      <x:c r="G134" s="88" t="str">
        <x:v>count</x:v>
      </x:c>
      <x:c r="H134" s="88" t="str">
        <x:v>CORRECTION_MODEL_CANDIDATE；SEGMENTATION；STRUCTURAL_RELIABILITY_INPUT</x:v>
      </x:c>
      <x:c r="I134" s="88" t="str">
        <x:v>natural_geohazard</x:v>
      </x:c>
      <x:c r="J134" s="88" t="str">
        <x:v>engineering_indicators显式观测</x:v>
      </x:c>
      <x:c r="K134" s="89" t="str">
        <x:v>未判定</x:v>
      </x:c>
      <x:c r="L134" s="89"/>
      <x:c r="M134" s="89"/>
      <x:c r="N134" s="89"/>
      <x:c r="O134" s="90"/>
      <x:c r="P134" s="89"/>
      <x:c r="Q134" s="89"/>
      <x:c r="R134" s="89" t="str">
        <x:v>未审核</x:v>
      </x:c>
      <x:c r="S134" s="88" t="str">
        <x:f>IF(K134="未判定","未判定",IF(K134="不适用",IF(L134="","缺少不适用依据","已关闭"),IF(M134="","适用但缺值",IF(P134="","缺少来源",IF(Q134="","缺少填报人",IF(R134&lt;&gt;"已审核","待审核","完整"))))))</x:f>
        <x:v>未判定</x:v>
      </x:c>
      <x:c r="T134" s="88" t="str">
        <x:v>SY/T 6891.2-2020 表1 周边环境/管道风险、7、表4 自然与地质灾害</x:v>
      </x:c>
    </x:row>
    <x:row r="135" ht="60" customHeight="1">
      <x:c r="A135" s="88" t="n">
        <x:v>131</x:v>
      </x:c>
      <x:c r="B135" s="88" t="str">
        <x:v>检测、缺陷与维修</x:v>
      </x:c>
      <x:c r="C135" s="88" t="str">
        <x:v>inspection_integrity.latest_ili_date</x:v>
      </x:c>
      <x:c r="D135" s="88" t="str">
        <x:v>最近内检测日期</x:v>
      </x:c>
      <x:c r="E135" s="88" t="str">
        <x:v>segment</x:v>
      </x:c>
      <x:c r="F135" s="88" t="str">
        <x:v>date</x:v>
      </x:c>
      <x:c r="G135" s="88" t="str">
        <x:v>—</x:v>
      </x:c>
      <x:c r="H135" s="88" t="str">
        <x:v>STRUCTURAL_RELIABILITY_INPUT；CORRECTION_MODEL_CANDIDATE；EVIDENCE</x:v>
      </x:c>
      <x:c r="I135" s="88" t="str">
        <x:v>external_corrosion；internal_corrosion；stress_corrosion_cracking；manufacturing_construction；third_party_damage；natural_geohazard</x:v>
      </x:c>
      <x:c r="J135" s="88" t="str">
        <x:v>engineering_indicators显式观测</x:v>
      </x:c>
      <x:c r="K135" s="89" t="str">
        <x:v>未判定</x:v>
      </x:c>
      <x:c r="L135" s="89"/>
      <x:c r="M135" s="89"/>
      <x:c r="N135" s="89"/>
      <x:c r="O135" s="90"/>
      <x:c r="P135" s="89"/>
      <x:c r="Q135" s="89"/>
      <x:c r="R135" s="89" t="str">
        <x:v>未审核</x:v>
      </x:c>
      <x:c r="S135" s="88" t="str">
        <x:f>IF(K135="未判定","未判定",IF(K135="不适用",IF(L135="","缺少不适用依据","已关闭"),IF(M135="","适用但缺值",IF(P135="","缺少来源",IF(Q135="","缺少填报人",IF(R135&lt;&gt;"已审核","待审核","完整"))))))</x:f>
        <x:v>未判定</x:v>
      </x:c>
      <x:c r="T135" s="88" t="str">
        <x:v>SY/T 6891.2-2020 表1 运行维护/检测评价、7、附录B</x:v>
      </x:c>
    </x:row>
    <x:row r="136" ht="60" customHeight="1">
      <x:c r="A136" s="88" t="n">
        <x:v>132</x:v>
      </x:c>
      <x:c r="B136" s="88" t="str">
        <x:v>检测、缺陷与维修</x:v>
      </x:c>
      <x:c r="C136" s="88" t="str">
        <x:v>inspection_integrity.ili_technology</x:v>
      </x:c>
      <x:c r="D136" s="88" t="str">
        <x:v>内检测技术类型</x:v>
      </x:c>
      <x:c r="E136" s="88" t="str">
        <x:v>segment</x:v>
      </x:c>
      <x:c r="F136" s="88" t="str">
        <x:v>string</x:v>
      </x:c>
      <x:c r="G136" s="88" t="str">
        <x:v>—</x:v>
      </x:c>
      <x:c r="H136" s="88" t="str">
        <x:v>STRUCTURAL_RELIABILITY_INPUT；CORRECTION_MODEL_CANDIDATE；EVIDENCE</x:v>
      </x:c>
      <x:c r="I136" s="88" t="str">
        <x:v>external_corrosion；internal_corrosion；stress_corrosion_cracking；manufacturing_construction；third_party_damage；natural_geohazard</x:v>
      </x:c>
      <x:c r="J136" s="88" t="str">
        <x:v>engineering_indicators显式观测</x:v>
      </x:c>
      <x:c r="K136" s="89" t="str">
        <x:v>未判定</x:v>
      </x:c>
      <x:c r="L136" s="89"/>
      <x:c r="M136" s="89"/>
      <x:c r="N136" s="89"/>
      <x:c r="O136" s="90"/>
      <x:c r="P136" s="89"/>
      <x:c r="Q136" s="89"/>
      <x:c r="R136" s="89" t="str">
        <x:v>未审核</x:v>
      </x:c>
      <x:c r="S136" s="88" t="str">
        <x:f>IF(K136="未判定","未判定",IF(K136="不适用",IF(L136="","缺少不适用依据","已关闭"),IF(M136="","适用但缺值",IF(P136="","缺少来源",IF(Q136="","缺少填报人",IF(R136&lt;&gt;"已审核","待审核","完整"))))))</x:f>
        <x:v>未判定</x:v>
      </x:c>
      <x:c r="T136" s="88" t="str">
        <x:v>SY/T 6891.2-2020 表1 运行维护/检测评价、7、附录B</x:v>
      </x:c>
    </x:row>
    <x:row r="137" ht="60" customHeight="1">
      <x:c r="A137" s="88" t="n">
        <x:v>133</x:v>
      </x:c>
      <x:c r="B137" s="88" t="str">
        <x:v>检测、缺陷与维修</x:v>
      </x:c>
      <x:c r="C137" s="88" t="str">
        <x:v>inspection_integrity.ili_coverage_fraction</x:v>
      </x:c>
      <x:c r="D137" s="88" t="str">
        <x:v>内检测覆盖率</x:v>
      </x:c>
      <x:c r="E137" s="88" t="str">
        <x:v>segment</x:v>
      </x:c>
      <x:c r="F137" s="88" t="str">
        <x:v>number</x:v>
      </x:c>
      <x:c r="G137" s="88" t="str">
        <x:v>—</x:v>
      </x:c>
      <x:c r="H137" s="88" t="str">
        <x:v>STRUCTURAL_RELIABILITY_INPUT；CORRECTION_MODEL_CANDIDATE；EVIDENCE</x:v>
      </x:c>
      <x:c r="I137" s="88" t="str">
        <x:v>external_corrosion；internal_corrosion；stress_corrosion_cracking；manufacturing_construction；third_party_damage；natural_geohazard</x:v>
      </x:c>
      <x:c r="J137" s="88" t="str">
        <x:v>engineering_indicators显式观测</x:v>
      </x:c>
      <x:c r="K137" s="89" t="str">
        <x:v>未判定</x:v>
      </x:c>
      <x:c r="L137" s="89"/>
      <x:c r="M137" s="89"/>
      <x:c r="N137" s="89"/>
      <x:c r="O137" s="90"/>
      <x:c r="P137" s="89"/>
      <x:c r="Q137" s="89"/>
      <x:c r="R137" s="89" t="str">
        <x:v>未审核</x:v>
      </x:c>
      <x:c r="S137" s="88" t="str">
        <x:f>IF(K137="未判定","未判定",IF(K137="不适用",IF(L137="","缺少不适用依据","已关闭"),IF(M137="","适用但缺值",IF(P137="","缺少来源",IF(Q137="","缺少填报人",IF(R137&lt;&gt;"已审核","待审核","完整"))))))</x:f>
        <x:v>未判定</x:v>
      </x:c>
      <x:c r="T137" s="88" t="str">
        <x:v>SY/T 6891.2-2020 表1 运行维护/检测评价、7、附录B</x:v>
      </x:c>
    </x:row>
    <x:row r="138" ht="60" customHeight="1">
      <x:c r="A138" s="88" t="n">
        <x:v>134</x:v>
      </x:c>
      <x:c r="B138" s="88" t="str">
        <x:v>检测、缺陷与维修</x:v>
      </x:c>
      <x:c r="C138" s="88" t="str">
        <x:v>inspection_integrity.ili_detection_threshold_mm</x:v>
      </x:c>
      <x:c r="D138" s="88" t="str">
        <x:v>内检测检出阈值</x:v>
      </x:c>
      <x:c r="E138" s="88" t="str">
        <x:v>segment</x:v>
      </x:c>
      <x:c r="F138" s="88" t="str">
        <x:v>number</x:v>
      </x:c>
      <x:c r="G138" s="88" t="str">
        <x:v>mm</x:v>
      </x:c>
      <x:c r="H138" s="88" t="str">
        <x:v>STRUCTURAL_RELIABILITY_INPUT；CORRECTION_MODEL_CANDIDATE；EVIDENCE</x:v>
      </x:c>
      <x:c r="I138" s="88" t="str">
        <x:v>external_corrosion；internal_corrosion；stress_corrosion_cracking；manufacturing_construction；third_party_damage；natural_geohazard</x:v>
      </x:c>
      <x:c r="J138" s="88" t="str">
        <x:v>engineering_indicators显式观测</x:v>
      </x:c>
      <x:c r="K138" s="89" t="str">
        <x:v>未判定</x:v>
      </x:c>
      <x:c r="L138" s="89"/>
      <x:c r="M138" s="89"/>
      <x:c r="N138" s="89"/>
      <x:c r="O138" s="90"/>
      <x:c r="P138" s="89"/>
      <x:c r="Q138" s="89"/>
      <x:c r="R138" s="89" t="str">
        <x:v>未审核</x:v>
      </x:c>
      <x:c r="S138" s="88" t="str">
        <x:f>IF(K138="未判定","未判定",IF(K138="不适用",IF(L138="","缺少不适用依据","已关闭"),IF(M138="","适用但缺值",IF(P138="","缺少来源",IF(Q138="","缺少填报人",IF(R138&lt;&gt;"已审核","待审核","完整"))))))</x:f>
        <x:v>未判定</x:v>
      </x:c>
      <x:c r="T138" s="88" t="str">
        <x:v>SY/T 6891.2-2020 表1 运行维护/检测评价、7、附录B</x:v>
      </x:c>
    </x:row>
    <x:row r="139" ht="60" customHeight="1">
      <x:c r="A139" s="88" t="n">
        <x:v>135</x:v>
      </x:c>
      <x:c r="B139" s="88" t="str">
        <x:v>检测、缺陷与维修</x:v>
      </x:c>
      <x:c r="C139" s="88" t="str">
        <x:v>inspection_integrity.ili_depth_tolerance_mm</x:v>
      </x:c>
      <x:c r="D139" s="88" t="str">
        <x:v>缺陷深度测量误差</x:v>
      </x:c>
      <x:c r="E139" s="88" t="str">
        <x:v>segment</x:v>
      </x:c>
      <x:c r="F139" s="88" t="str">
        <x:v>number</x:v>
      </x:c>
      <x:c r="G139" s="88" t="str">
        <x:v>mm</x:v>
      </x:c>
      <x:c r="H139" s="88" t="str">
        <x:v>STRUCTURAL_RELIABILITY_INPUT；CORRECTION_MODEL_CANDIDATE；EVIDENCE</x:v>
      </x:c>
      <x:c r="I139" s="88" t="str">
        <x:v>external_corrosion；internal_corrosion；stress_corrosion_cracking；manufacturing_construction；third_party_damage；natural_geohazard</x:v>
      </x:c>
      <x:c r="J139" s="88" t="str">
        <x:v>engineering_indicators显式观测</x:v>
      </x:c>
      <x:c r="K139" s="89" t="str">
        <x:v>未判定</x:v>
      </x:c>
      <x:c r="L139" s="89"/>
      <x:c r="M139" s="89"/>
      <x:c r="N139" s="89"/>
      <x:c r="O139" s="90"/>
      <x:c r="P139" s="89"/>
      <x:c r="Q139" s="89"/>
      <x:c r="R139" s="89" t="str">
        <x:v>未审核</x:v>
      </x:c>
      <x:c r="S139" s="88" t="str">
        <x:f>IF(K139="未判定","未判定",IF(K139="不适用",IF(L139="","缺少不适用依据","已关闭"),IF(M139="","适用但缺值",IF(P139="","缺少来源",IF(Q139="","缺少填报人",IF(R139&lt;&gt;"已审核","待审核","完整"))))))</x:f>
        <x:v>未判定</x:v>
      </x:c>
      <x:c r="T139" s="88" t="str">
        <x:v>SY/T 6891.2-2020 表1 运行维护/检测评价、7、附录B</x:v>
      </x:c>
    </x:row>
    <x:row r="140" ht="60" customHeight="1">
      <x:c r="A140" s="88" t="n">
        <x:v>136</x:v>
      </x:c>
      <x:c r="B140" s="88" t="str">
        <x:v>检测、缺陷与维修</x:v>
      </x:c>
      <x:c r="C140" s="88" t="str">
        <x:v>inspection_integrity.external_corrosion_anomaly_count</x:v>
      </x:c>
      <x:c r="D140" s="88" t="str">
        <x:v>外腐蚀异常数量</x:v>
      </x:c>
      <x:c r="E140" s="88" t="str">
        <x:v>segment</x:v>
      </x:c>
      <x:c r="F140" s="88" t="str">
        <x:v>integer</x:v>
      </x:c>
      <x:c r="G140" s="88" t="str">
        <x:v>count</x:v>
      </x:c>
      <x:c r="H140" s="88" t="str">
        <x:v>STRUCTURAL_RELIABILITY_INPUT；CORRECTION_MODEL_CANDIDATE；EVIDENCE</x:v>
      </x:c>
      <x:c r="I140" s="88" t="str">
        <x:v>external_corrosion；internal_corrosion；stress_corrosion_cracking；manufacturing_construction；third_party_damage；natural_geohazard</x:v>
      </x:c>
      <x:c r="J140" s="88" t="str">
        <x:v>engineering_indicators显式观测</x:v>
      </x:c>
      <x:c r="K140" s="89" t="str">
        <x:v>未判定</x:v>
      </x:c>
      <x:c r="L140" s="89"/>
      <x:c r="M140" s="89"/>
      <x:c r="N140" s="89"/>
      <x:c r="O140" s="90"/>
      <x:c r="P140" s="89"/>
      <x:c r="Q140" s="89"/>
      <x:c r="R140" s="89" t="str">
        <x:v>未审核</x:v>
      </x:c>
      <x:c r="S140" s="88" t="str">
        <x:f>IF(K140="未判定","未判定",IF(K140="不适用",IF(L140="","缺少不适用依据","已关闭"),IF(M140="","适用但缺值",IF(P140="","缺少来源",IF(Q140="","缺少填报人",IF(R140&lt;&gt;"已审核","待审核","完整"))))))</x:f>
        <x:v>未判定</x:v>
      </x:c>
      <x:c r="T140" s="88" t="str">
        <x:v>SY/T 6891.2-2020 表1 运行维护/检测评价、7、附录B</x:v>
      </x:c>
    </x:row>
    <x:row r="141" ht="60" customHeight="1">
      <x:c r="A141" s="88" t="n">
        <x:v>137</x:v>
      </x:c>
      <x:c r="B141" s="88" t="str">
        <x:v>检测、缺陷与维修</x:v>
      </x:c>
      <x:c r="C141" s="88" t="str">
        <x:v>inspection_integrity.internal_corrosion_anomaly_count</x:v>
      </x:c>
      <x:c r="D141" s="88" t="str">
        <x:v>内腐蚀异常数量</x:v>
      </x:c>
      <x:c r="E141" s="88" t="str">
        <x:v>segment</x:v>
      </x:c>
      <x:c r="F141" s="88" t="str">
        <x:v>integer</x:v>
      </x:c>
      <x:c r="G141" s="88" t="str">
        <x:v>count</x:v>
      </x:c>
      <x:c r="H141" s="88" t="str">
        <x:v>STRUCTURAL_RELIABILITY_INPUT；CORRECTION_MODEL_CANDIDATE；EVIDENCE</x:v>
      </x:c>
      <x:c r="I141" s="88" t="str">
        <x:v>external_corrosion；internal_corrosion；stress_corrosion_cracking；manufacturing_construction；third_party_damage；natural_geohazard</x:v>
      </x:c>
      <x:c r="J141" s="88" t="str">
        <x:v>engineering_indicators显式观测</x:v>
      </x:c>
      <x:c r="K141" s="89" t="str">
        <x:v>未判定</x:v>
      </x:c>
      <x:c r="L141" s="89"/>
      <x:c r="M141" s="89"/>
      <x:c r="N141" s="89"/>
      <x:c r="O141" s="90"/>
      <x:c r="P141" s="89"/>
      <x:c r="Q141" s="89"/>
      <x:c r="R141" s="89" t="str">
        <x:v>未审核</x:v>
      </x:c>
      <x:c r="S141" s="88" t="str">
        <x:f>IF(K141="未判定","未判定",IF(K141="不适用",IF(L141="","缺少不适用依据","已关闭"),IF(M141="","适用但缺值",IF(P141="","缺少来源",IF(Q141="","缺少填报人",IF(R141&lt;&gt;"已审核","待审核","完整"))))))</x:f>
        <x:v>未判定</x:v>
      </x:c>
      <x:c r="T141" s="88" t="str">
        <x:v>SY/T 6891.2-2020 表1 运行维护/检测评价、7、附录B</x:v>
      </x:c>
    </x:row>
    <x:row r="142" ht="60" customHeight="1">
      <x:c r="A142" s="88" t="n">
        <x:v>138</x:v>
      </x:c>
      <x:c r="B142" s="88" t="str">
        <x:v>检测、缺陷与维修</x:v>
      </x:c>
      <x:c r="C142" s="88" t="str">
        <x:v>inspection_integrity.maximum_corrosion_depth_ratio</x:v>
      </x:c>
      <x:c r="D142" s="88" t="str">
        <x:v>最大腐蚀深度比</x:v>
      </x:c>
      <x:c r="E142" s="88" t="str">
        <x:v>segment</x:v>
      </x:c>
      <x:c r="F142" s="88" t="str">
        <x:v>number</x:v>
      </x:c>
      <x:c r="G142" s="88" t="str">
        <x:v>—</x:v>
      </x:c>
      <x:c r="H142" s="88" t="str">
        <x:v>STRUCTURAL_RELIABILITY_INPUT；CORRECTION_MODEL_CANDIDATE；EVIDENCE</x:v>
      </x:c>
      <x:c r="I142" s="88" t="str">
        <x:v>external_corrosion；internal_corrosion；stress_corrosion_cracking；manufacturing_construction；third_party_damage；natural_geohazard</x:v>
      </x:c>
      <x:c r="J142" s="88" t="str">
        <x:v>engineering_indicators显式观测</x:v>
      </x:c>
      <x:c r="K142" s="89" t="str">
        <x:v>未判定</x:v>
      </x:c>
      <x:c r="L142" s="89"/>
      <x:c r="M142" s="89"/>
      <x:c r="N142" s="89"/>
      <x:c r="O142" s="90"/>
      <x:c r="P142" s="89"/>
      <x:c r="Q142" s="89"/>
      <x:c r="R142" s="89" t="str">
        <x:v>未审核</x:v>
      </x:c>
      <x:c r="S142" s="88" t="str">
        <x:f>IF(K142="未判定","未判定",IF(K142="不适用",IF(L142="","缺少不适用依据","已关闭"),IF(M142="","适用但缺值",IF(P142="","缺少来源",IF(Q142="","缺少填报人",IF(R142&lt;&gt;"已审核","待审核","完整"))))))</x:f>
        <x:v>未判定</x:v>
      </x:c>
      <x:c r="T142" s="88" t="str">
        <x:v>SY/T 6891.2-2020 表1 运行维护/检测评价、7、附录B</x:v>
      </x:c>
    </x:row>
    <x:row r="143" ht="60" customHeight="1">
      <x:c r="A143" s="88" t="n">
        <x:v>139</x:v>
      </x:c>
      <x:c r="B143" s="88" t="str">
        <x:v>检测、缺陷与维修</x:v>
      </x:c>
      <x:c r="C143" s="88" t="str">
        <x:v>inspection_integrity.maximum_corrosion_length_mm</x:v>
      </x:c>
      <x:c r="D143" s="88" t="str">
        <x:v>最大腐蚀轴向长度</x:v>
      </x:c>
      <x:c r="E143" s="88" t="str">
        <x:v>segment</x:v>
      </x:c>
      <x:c r="F143" s="88" t="str">
        <x:v>number</x:v>
      </x:c>
      <x:c r="G143" s="88" t="str">
        <x:v>mm</x:v>
      </x:c>
      <x:c r="H143" s="88" t="str">
        <x:v>STRUCTURAL_RELIABILITY_INPUT；CORRECTION_MODEL_CANDIDATE；EVIDENCE</x:v>
      </x:c>
      <x:c r="I143" s="88" t="str">
        <x:v>external_corrosion；internal_corrosion；stress_corrosion_cracking；manufacturing_construction；third_party_damage；natural_geohazard</x:v>
      </x:c>
      <x:c r="J143" s="88" t="str">
        <x:v>engineering_indicators显式观测</x:v>
      </x:c>
      <x:c r="K143" s="89" t="str">
        <x:v>未判定</x:v>
      </x:c>
      <x:c r="L143" s="89"/>
      <x:c r="M143" s="89"/>
      <x:c r="N143" s="89"/>
      <x:c r="O143" s="90"/>
      <x:c r="P143" s="89"/>
      <x:c r="Q143" s="89"/>
      <x:c r="R143" s="89" t="str">
        <x:v>未审核</x:v>
      </x:c>
      <x:c r="S143" s="88" t="str">
        <x:f>IF(K143="未判定","未判定",IF(K143="不适用",IF(L143="","缺少不适用依据","已关闭"),IF(M143="","适用但缺值",IF(P143="","缺少来源",IF(Q143="","缺少填报人",IF(R143&lt;&gt;"已审核","待审核","完整"))))))</x:f>
        <x:v>未判定</x:v>
      </x:c>
      <x:c r="T143" s="88" t="str">
        <x:v>SY/T 6891.2-2020 表1 运行维护/检测评价、7、附录B</x:v>
      </x:c>
    </x:row>
    <x:row r="144" ht="60" customHeight="1">
      <x:c r="A144" s="88" t="n">
        <x:v>140</x:v>
      </x:c>
      <x:c r="B144" s="88" t="str">
        <x:v>检测、缺陷与维修</x:v>
      </x:c>
      <x:c r="C144" s="88" t="str">
        <x:v>inspection_integrity.corrosion_growth_rate_mm_year</x:v>
      </x:c>
      <x:c r="D144" s="88" t="str">
        <x:v>腐蚀增长率</x:v>
      </x:c>
      <x:c r="E144" s="88" t="str">
        <x:v>segment</x:v>
      </x:c>
      <x:c r="F144" s="88" t="str">
        <x:v>number</x:v>
      </x:c>
      <x:c r="G144" s="88" t="str">
        <x:v>mm/year</x:v>
      </x:c>
      <x:c r="H144" s="88" t="str">
        <x:v>STRUCTURAL_RELIABILITY_INPUT；CORRECTION_MODEL_CANDIDATE；EVIDENCE</x:v>
      </x:c>
      <x:c r="I144" s="88" t="str">
        <x:v>external_corrosion；internal_corrosion；stress_corrosion_cracking；manufacturing_construction；third_party_damage；natural_geohazard</x:v>
      </x:c>
      <x:c r="J144" s="88" t="str">
        <x:v>engineering_indicators显式观测</x:v>
      </x:c>
      <x:c r="K144" s="89" t="str">
        <x:v>未判定</x:v>
      </x:c>
      <x:c r="L144" s="89"/>
      <x:c r="M144" s="89"/>
      <x:c r="N144" s="89"/>
      <x:c r="O144" s="90"/>
      <x:c r="P144" s="89"/>
      <x:c r="Q144" s="89"/>
      <x:c r="R144" s="89" t="str">
        <x:v>未审核</x:v>
      </x:c>
      <x:c r="S144" s="88" t="str">
        <x:f>IF(K144="未判定","未判定",IF(K144="不适用",IF(L144="","缺少不适用依据","已关闭"),IF(M144="","适用但缺值",IF(P144="","缺少来源",IF(Q144="","缺少填报人",IF(R144&lt;&gt;"已审核","待审核","完整"))))))</x:f>
        <x:v>未判定</x:v>
      </x:c>
      <x:c r="T144" s="88" t="str">
        <x:v>SY/T 6891.2-2020 表1 运行维护/检测评价、7、附录B</x:v>
      </x:c>
    </x:row>
    <x:row r="145" ht="60" customHeight="1">
      <x:c r="A145" s="88" t="n">
        <x:v>141</x:v>
      </x:c>
      <x:c r="B145" s="88" t="str">
        <x:v>检测、缺陷与维修</x:v>
      </x:c>
      <x:c r="C145" s="88" t="str">
        <x:v>inspection_integrity.dent_count</x:v>
      </x:c>
      <x:c r="D145" s="88" t="str">
        <x:v>凹陷数量</x:v>
      </x:c>
      <x:c r="E145" s="88" t="str">
        <x:v>segment</x:v>
      </x:c>
      <x:c r="F145" s="88" t="str">
        <x:v>integer</x:v>
      </x:c>
      <x:c r="G145" s="88" t="str">
        <x:v>count</x:v>
      </x:c>
      <x:c r="H145" s="88" t="str">
        <x:v>STRUCTURAL_RELIABILITY_INPUT；CORRECTION_MODEL_CANDIDATE；EVIDENCE</x:v>
      </x:c>
      <x:c r="I145" s="88" t="str">
        <x:v>external_corrosion；internal_corrosion；stress_corrosion_cracking；manufacturing_construction；third_party_damage；natural_geohazard</x:v>
      </x:c>
      <x:c r="J145" s="88" t="str">
        <x:v>engineering_indicators显式观测</x:v>
      </x:c>
      <x:c r="K145" s="89" t="str">
        <x:v>未判定</x:v>
      </x:c>
      <x:c r="L145" s="89"/>
      <x:c r="M145" s="89"/>
      <x:c r="N145" s="89"/>
      <x:c r="O145" s="90"/>
      <x:c r="P145" s="89"/>
      <x:c r="Q145" s="89"/>
      <x:c r="R145" s="89" t="str">
        <x:v>未审核</x:v>
      </x:c>
      <x:c r="S145" s="88" t="str">
        <x:f>IF(K145="未判定","未判定",IF(K145="不适用",IF(L145="","缺少不适用依据","已关闭"),IF(M145="","适用但缺值",IF(P145="","缺少来源",IF(Q145="","缺少填报人",IF(R145&lt;&gt;"已审核","待审核","完整"))))))</x:f>
        <x:v>未判定</x:v>
      </x:c>
      <x:c r="T145" s="88" t="str">
        <x:v>SY/T 6891.2-2020 表1 运行维护/检测评价、7、附录B</x:v>
      </x:c>
    </x:row>
    <x:row r="146" ht="60" customHeight="1">
      <x:c r="A146" s="88" t="n">
        <x:v>142</x:v>
      </x:c>
      <x:c r="B146" s="88" t="str">
        <x:v>检测、缺陷与维修</x:v>
      </x:c>
      <x:c r="C146" s="88" t="str">
        <x:v>inspection_integrity.crack_count</x:v>
      </x:c>
      <x:c r="D146" s="88" t="str">
        <x:v>裂纹数量</x:v>
      </x:c>
      <x:c r="E146" s="88" t="str">
        <x:v>segment</x:v>
      </x:c>
      <x:c r="F146" s="88" t="str">
        <x:v>integer</x:v>
      </x:c>
      <x:c r="G146" s="88" t="str">
        <x:v>count</x:v>
      </x:c>
      <x:c r="H146" s="88" t="str">
        <x:v>STRUCTURAL_RELIABILITY_INPUT；CORRECTION_MODEL_CANDIDATE；EVIDENCE</x:v>
      </x:c>
      <x:c r="I146" s="88" t="str">
        <x:v>external_corrosion；internal_corrosion；stress_corrosion_cracking；manufacturing_construction；third_party_damage；natural_geohazard</x:v>
      </x:c>
      <x:c r="J146" s="88" t="str">
        <x:v>engineering_indicators显式观测</x:v>
      </x:c>
      <x:c r="K146" s="89" t="str">
        <x:v>未判定</x:v>
      </x:c>
      <x:c r="L146" s="89"/>
      <x:c r="M146" s="89"/>
      <x:c r="N146" s="89"/>
      <x:c r="O146" s="90"/>
      <x:c r="P146" s="89"/>
      <x:c r="Q146" s="89"/>
      <x:c r="R146" s="89" t="str">
        <x:v>未审核</x:v>
      </x:c>
      <x:c r="S146" s="88" t="str">
        <x:f>IF(K146="未判定","未判定",IF(K146="不适用",IF(L146="","缺少不适用依据","已关闭"),IF(M146="","适用但缺值",IF(P146="","缺少来源",IF(Q146="","缺少填报人",IF(R146&lt;&gt;"已审核","待审核","完整"))))))</x:f>
        <x:v>未判定</x:v>
      </x:c>
      <x:c r="T146" s="88" t="str">
        <x:v>SY/T 6891.2-2020 表1 运行维护/检测评价、7、附录B</x:v>
      </x:c>
    </x:row>
    <x:row r="147" ht="60" customHeight="1">
      <x:c r="A147" s="88" t="n">
        <x:v>143</x:v>
      </x:c>
      <x:c r="B147" s="88" t="str">
        <x:v>检测、缺陷与维修</x:v>
      </x:c>
      <x:c r="C147" s="88" t="str">
        <x:v>inspection_integrity.field_verification_count</x:v>
      </x:c>
      <x:c r="D147" s="88" t="str">
        <x:v>开挖验证数量</x:v>
      </x:c>
      <x:c r="E147" s="88" t="str">
        <x:v>segment</x:v>
      </x:c>
      <x:c r="F147" s="88" t="str">
        <x:v>integer</x:v>
      </x:c>
      <x:c r="G147" s="88" t="str">
        <x:v>count</x:v>
      </x:c>
      <x:c r="H147" s="88" t="str">
        <x:v>STRUCTURAL_RELIABILITY_INPUT；CORRECTION_MODEL_CANDIDATE；EVIDENCE</x:v>
      </x:c>
      <x:c r="I147" s="88" t="str">
        <x:v>external_corrosion；internal_corrosion；stress_corrosion_cracking；manufacturing_construction；third_party_damage；natural_geohazard</x:v>
      </x:c>
      <x:c r="J147" s="88" t="str">
        <x:v>engineering_indicators显式观测</x:v>
      </x:c>
      <x:c r="K147" s="89" t="str">
        <x:v>未判定</x:v>
      </x:c>
      <x:c r="L147" s="89"/>
      <x:c r="M147" s="89"/>
      <x:c r="N147" s="89"/>
      <x:c r="O147" s="90"/>
      <x:c r="P147" s="89"/>
      <x:c r="Q147" s="89"/>
      <x:c r="R147" s="89" t="str">
        <x:v>未审核</x:v>
      </x:c>
      <x:c r="S147" s="88" t="str">
        <x:f>IF(K147="未判定","未判定",IF(K147="不适用",IF(L147="","缺少不适用依据","已关闭"),IF(M147="","适用但缺值",IF(P147="","缺少来源",IF(Q147="","缺少填报人",IF(R147&lt;&gt;"已审核","待审核","完整"))))))</x:f>
        <x:v>未判定</x:v>
      </x:c>
      <x:c r="T147" s="88" t="str">
        <x:v>SY/T 6891.2-2020 表1 运行维护/检测评价、7、附录B</x:v>
      </x:c>
    </x:row>
    <x:row r="148" ht="60" customHeight="1">
      <x:c r="A148" s="88" t="n">
        <x:v>144</x:v>
      </x:c>
      <x:c r="B148" s="88" t="str">
        <x:v>检测、缺陷与维修</x:v>
      </x:c>
      <x:c r="C148" s="88" t="str">
        <x:v>inspection_integrity.field_verification_match_fraction</x:v>
      </x:c>
      <x:c r="D148" s="88" t="str">
        <x:v>开挖验证符合率</x:v>
      </x:c>
      <x:c r="E148" s="88" t="str">
        <x:v>segment</x:v>
      </x:c>
      <x:c r="F148" s="88" t="str">
        <x:v>number</x:v>
      </x:c>
      <x:c r="G148" s="88" t="str">
        <x:v>—</x:v>
      </x:c>
      <x:c r="H148" s="88" t="str">
        <x:v>STRUCTURAL_RELIABILITY_INPUT；CORRECTION_MODEL_CANDIDATE；EVIDENCE</x:v>
      </x:c>
      <x:c r="I148" s="88" t="str">
        <x:v>external_corrosion；internal_corrosion；stress_corrosion_cracking；manufacturing_construction；third_party_damage；natural_geohazard</x:v>
      </x:c>
      <x:c r="J148" s="88" t="str">
        <x:v>engineering_indicators显式观测</x:v>
      </x:c>
      <x:c r="K148" s="89" t="str">
        <x:v>未判定</x:v>
      </x:c>
      <x:c r="L148" s="89"/>
      <x:c r="M148" s="89"/>
      <x:c r="N148" s="89"/>
      <x:c r="O148" s="90"/>
      <x:c r="P148" s="89"/>
      <x:c r="Q148" s="89"/>
      <x:c r="R148" s="89" t="str">
        <x:v>未审核</x:v>
      </x:c>
      <x:c r="S148" s="88" t="str">
        <x:f>IF(K148="未判定","未判定",IF(K148="不适用",IF(L148="","缺少不适用依据","已关闭"),IF(M148="","适用但缺值",IF(P148="","缺少来源",IF(Q148="","缺少填报人",IF(R148&lt;&gt;"已审核","待审核","完整"))))))</x:f>
        <x:v>未判定</x:v>
      </x:c>
      <x:c r="T148" s="88" t="str">
        <x:v>SY/T 6891.2-2020 表1 运行维护/检测评价、7、附录B</x:v>
      </x:c>
    </x:row>
    <x:row r="149" ht="60" customHeight="1">
      <x:c r="A149" s="88" t="n">
        <x:v>145</x:v>
      </x:c>
      <x:c r="B149" s="88" t="str">
        <x:v>检测、缺陷与维修</x:v>
      </x:c>
      <x:c r="C149" s="88" t="str">
        <x:v>inspection_integrity.repair_count</x:v>
      </x:c>
      <x:c r="D149" s="88" t="str">
        <x:v>历史修复数量</x:v>
      </x:c>
      <x:c r="E149" s="88" t="str">
        <x:v>segment</x:v>
      </x:c>
      <x:c r="F149" s="88" t="str">
        <x:v>integer</x:v>
      </x:c>
      <x:c r="G149" s="88" t="str">
        <x:v>count</x:v>
      </x:c>
      <x:c r="H149" s="88" t="str">
        <x:v>STRUCTURAL_RELIABILITY_INPUT；CORRECTION_MODEL_CANDIDATE；EVIDENCE</x:v>
      </x:c>
      <x:c r="I149" s="88" t="str">
        <x:v>external_corrosion；internal_corrosion；stress_corrosion_cracking；manufacturing_construction；third_party_damage；natural_geohazard</x:v>
      </x:c>
      <x:c r="J149" s="88" t="str">
        <x:v>engineering_indicators显式观测</x:v>
      </x:c>
      <x:c r="K149" s="89" t="str">
        <x:v>未判定</x:v>
      </x:c>
      <x:c r="L149" s="89"/>
      <x:c r="M149" s="89"/>
      <x:c r="N149" s="89"/>
      <x:c r="O149" s="90"/>
      <x:c r="P149" s="89"/>
      <x:c r="Q149" s="89"/>
      <x:c r="R149" s="89" t="str">
        <x:v>未审核</x:v>
      </x:c>
      <x:c r="S149" s="88" t="str">
        <x:f>IF(K149="未判定","未判定",IF(K149="不适用",IF(L149="","缺少不适用依据","已关闭"),IF(M149="","适用但缺值",IF(P149="","缺少来源",IF(Q149="","缺少填报人",IF(R149&lt;&gt;"已审核","待审核","完整"))))))</x:f>
        <x:v>未判定</x:v>
      </x:c>
      <x:c r="T149" s="88" t="str">
        <x:v>SY/T 6891.2-2020 表1 运行维护/检测评价、7、附录B</x:v>
      </x:c>
    </x:row>
    <x:row r="150" ht="60" customHeight="1">
      <x:c r="A150" s="88" t="n">
        <x:v>146</x:v>
      </x:c>
      <x:c r="B150" s="88" t="str">
        <x:v>检测、缺陷与维修</x:v>
      </x:c>
      <x:c r="C150" s="88" t="str">
        <x:v>inspection_integrity.unrepaired_critical_anomaly_count</x:v>
      </x:c>
      <x:c r="D150" s="88" t="str">
        <x:v>未修复临界缺陷数量</x:v>
      </x:c>
      <x:c r="E150" s="88" t="str">
        <x:v>segment</x:v>
      </x:c>
      <x:c r="F150" s="88" t="str">
        <x:v>integer</x:v>
      </x:c>
      <x:c r="G150" s="88" t="str">
        <x:v>count</x:v>
      </x:c>
      <x:c r="H150" s="88" t="str">
        <x:v>STRUCTURAL_RELIABILITY_INPUT；CORRECTION_MODEL_CANDIDATE；EVIDENCE</x:v>
      </x:c>
      <x:c r="I150" s="88" t="str">
        <x:v>external_corrosion；internal_corrosion；stress_corrosion_cracking；manufacturing_construction；third_party_damage；natural_geohazard</x:v>
      </x:c>
      <x:c r="J150" s="88" t="str">
        <x:v>engineering_indicators显式观测</x:v>
      </x:c>
      <x:c r="K150" s="89" t="str">
        <x:v>未判定</x:v>
      </x:c>
      <x:c r="L150" s="89"/>
      <x:c r="M150" s="89"/>
      <x:c r="N150" s="89"/>
      <x:c r="O150" s="90"/>
      <x:c r="P150" s="89"/>
      <x:c r="Q150" s="89"/>
      <x:c r="R150" s="89" t="str">
        <x:v>未审核</x:v>
      </x:c>
      <x:c r="S150" s="88" t="str">
        <x:f>IF(K150="未判定","未判定",IF(K150="不适用",IF(L150="","缺少不适用依据","已关闭"),IF(M150="","适用但缺值",IF(P150="","缺少来源",IF(Q150="","缺少填报人",IF(R150&lt;&gt;"已审核","待审核","完整"))))))</x:f>
        <x:v>未判定</x:v>
      </x:c>
      <x:c r="T150" s="88" t="str">
        <x:v>SY/T 6891.2-2020 表1 运行维护/检测评价、7、附录B</x:v>
      </x:c>
    </x:row>
    <x:row r="151" ht="60" customHeight="1">
      <x:c r="A151" s="88" t="n">
        <x:v>147</x:v>
      </x:c>
      <x:c r="B151" s="88" t="str">
        <x:v>气象、地面条件与扩散环境</x:v>
      </x:c>
      <x:c r="C151" s="88" t="str">
        <x:v>weather_terrain.relative_humidity_fraction</x:v>
      </x:c>
      <x:c r="D151" s="88" t="str">
        <x:v>相对湿度</x:v>
      </x:c>
      <x:c r="E151" s="88" t="str">
        <x:v>weather_or_segment</x:v>
      </x:c>
      <x:c r="F151" s="88" t="str">
        <x:v>number</x:v>
      </x:c>
      <x:c r="G151" s="88" t="str">
        <x:v>—</x:v>
      </x:c>
      <x:c r="H151" s="88" t="str">
        <x:v>DIRECT_MODEL_INPUT；CONSEQUENCE_MODEL_INPUT</x:v>
      </x:c>
      <x:c r="I151" s="88" t="str">
        <x:v>—</x:v>
      </x:c>
      <x:c r="J151" s="88" t="str">
        <x:v>engineering_indicators显式观测</x:v>
      </x:c>
      <x:c r="K151" s="89" t="str">
        <x:v>未判定</x:v>
      </x:c>
      <x:c r="L151" s="89"/>
      <x:c r="M151" s="89"/>
      <x:c r="N151" s="89"/>
      <x:c r="O151" s="90"/>
      <x:c r="P151" s="89"/>
      <x:c r="Q151" s="89"/>
      <x:c r="R151" s="89" t="str">
        <x:v>未审核</x:v>
      </x:c>
      <x:c r="S151" s="88" t="str">
        <x:f>IF(K151="未判定","未判定",IF(K151="不适用",IF(L151="","缺少不适用依据","已关闭"),IF(M151="","适用但缺值",IF(P151="","缺少来源",IF(Q151="","缺少填报人",IF(R151&lt;&gt;"已审核","待审核","完整"))))))</x:f>
        <x:v>未判定</x:v>
      </x:c>
      <x:c r="T151" s="88" t="str">
        <x:v>SY/T 6891.2-2020 表1 周边环境、9.2、10；AQ/T 3046-2013 9、附录E</x:v>
      </x:c>
    </x:row>
    <x:row r="152" ht="60" customHeight="1">
      <x:c r="A152" s="88" t="n">
        <x:v>148</x:v>
      </x:c>
      <x:c r="B152" s="88" t="str">
        <x:v>气象、地面条件与扩散环境</x:v>
      </x:c>
      <x:c r="C152" s="88" t="str">
        <x:v>weather_terrain.surface_roughness_m</x:v>
      </x:c>
      <x:c r="D152" s="88" t="str">
        <x:v>地面粗糙度</x:v>
      </x:c>
      <x:c r="E152" s="88" t="str">
        <x:v>weather_or_segment</x:v>
      </x:c>
      <x:c r="F152" s="88" t="str">
        <x:v>number</x:v>
      </x:c>
      <x:c r="G152" s="88" t="str">
        <x:v>m</x:v>
      </x:c>
      <x:c r="H152" s="88" t="str">
        <x:v>DIRECT_MODEL_INPUT；CONSEQUENCE_MODEL_INPUT</x:v>
      </x:c>
      <x:c r="I152" s="88" t="str">
        <x:v>—</x:v>
      </x:c>
      <x:c r="J152" s="88" t="str">
        <x:v>engineering_indicators显式观测</x:v>
      </x:c>
      <x:c r="K152" s="89" t="str">
        <x:v>未判定</x:v>
      </x:c>
      <x:c r="L152" s="89"/>
      <x:c r="M152" s="89"/>
      <x:c r="N152" s="89"/>
      <x:c r="O152" s="90"/>
      <x:c r="P152" s="89"/>
      <x:c r="Q152" s="89"/>
      <x:c r="R152" s="89" t="str">
        <x:v>未审核</x:v>
      </x:c>
      <x:c r="S152" s="88" t="str">
        <x:f>IF(K152="未判定","未判定",IF(K152="不适用",IF(L152="","缺少不适用依据","已关闭"),IF(M152="","适用但缺值",IF(P152="","缺少来源",IF(Q152="","缺少填报人",IF(R152&lt;&gt;"已审核","待审核","完整"))))))</x:f>
        <x:v>未判定</x:v>
      </x:c>
      <x:c r="T152" s="88" t="str">
        <x:v>SY/T 6891.2-2020 表1 周边环境、9.2、10；AQ/T 3046-2013 9、附录E</x:v>
      </x:c>
    </x:row>
    <x:row r="153" ht="60" customHeight="1">
      <x:c r="A153" s="88" t="n">
        <x:v>149</x:v>
      </x:c>
      <x:c r="B153" s="88" t="str">
        <x:v>气象、地面条件与扩散环境</x:v>
      </x:c>
      <x:c r="C153" s="88" t="str">
        <x:v>weather_terrain.topographic_channeling</x:v>
      </x:c>
      <x:c r="D153" s="88" t="str">
        <x:v>地形导流效应</x:v>
      </x:c>
      <x:c r="E153" s="88" t="str">
        <x:v>weather_or_segment</x:v>
      </x:c>
      <x:c r="F153" s="88" t="str">
        <x:v>boolean</x:v>
      </x:c>
      <x:c r="G153" s="88" t="str">
        <x:v>—</x:v>
      </x:c>
      <x:c r="H153" s="88" t="str">
        <x:v>DIRECT_MODEL_INPUT；CONSEQUENCE_MODEL_INPUT</x:v>
      </x:c>
      <x:c r="I153" s="88" t="str">
        <x:v>—</x:v>
      </x:c>
      <x:c r="J153" s="88" t="str">
        <x:v>engineering_indicators显式观测</x:v>
      </x:c>
      <x:c r="K153" s="89" t="str">
        <x:v>未判定</x:v>
      </x:c>
      <x:c r="L153" s="89"/>
      <x:c r="M153" s="89"/>
      <x:c r="N153" s="89"/>
      <x:c r="O153" s="90"/>
      <x:c r="P153" s="89"/>
      <x:c r="Q153" s="89"/>
      <x:c r="R153" s="89" t="str">
        <x:v>未审核</x:v>
      </x:c>
      <x:c r="S153" s="88" t="str">
        <x:f>IF(K153="未判定","未判定",IF(K153="不适用",IF(L153="","缺少不适用依据","已关闭"),IF(M153="","适用但缺值",IF(P153="","缺少来源",IF(Q153="","缺少填报人",IF(R153&lt;&gt;"已审核","待审核","完整"))))))</x:f>
        <x:v>未判定</x:v>
      </x:c>
      <x:c r="T153" s="88" t="str">
        <x:v>SY/T 6891.2-2020 表1 周边环境、9.2、10；AQ/T 3046-2013 9、附录E</x:v>
      </x:c>
    </x:row>
    <x:row r="154" ht="60" customHeight="1">
      <x:c r="A154" s="88" t="n">
        <x:v>150</x:v>
      </x:c>
      <x:c r="B154" s="88" t="str">
        <x:v>气象、地面条件与扩散环境</x:v>
      </x:c>
      <x:c r="C154" s="88" t="str">
        <x:v>weather_terrain.temperature_inversion_frequency</x:v>
      </x:c>
      <x:c r="D154" s="88" t="str">
        <x:v>逆温出现频率</x:v>
      </x:c>
      <x:c r="E154" s="88" t="str">
        <x:v>weather_or_segment</x:v>
      </x:c>
      <x:c r="F154" s="88" t="str">
        <x:v>number</x:v>
      </x:c>
      <x:c r="G154" s="88" t="str">
        <x:v>—</x:v>
      </x:c>
      <x:c r="H154" s="88" t="str">
        <x:v>DIRECT_MODEL_INPUT；CONSEQUENCE_MODEL_INPUT</x:v>
      </x:c>
      <x:c r="I154" s="88" t="str">
        <x:v>—</x:v>
      </x:c>
      <x:c r="J154" s="88" t="str">
        <x:v>engineering_indicators显式观测</x:v>
      </x:c>
      <x:c r="K154" s="89" t="str">
        <x:v>未判定</x:v>
      </x:c>
      <x:c r="L154" s="89"/>
      <x:c r="M154" s="89"/>
      <x:c r="N154" s="89"/>
      <x:c r="O154" s="90"/>
      <x:c r="P154" s="89"/>
      <x:c r="Q154" s="89"/>
      <x:c r="R154" s="89" t="str">
        <x:v>未审核</x:v>
      </x:c>
      <x:c r="S154" s="88" t="str">
        <x:f>IF(K154="未判定","未判定",IF(K154="不适用",IF(L154="","缺少不适用依据","已关闭"),IF(M154="","适用但缺值",IF(P154="","缺少来源",IF(Q154="","缺少填报人",IF(R154&lt;&gt;"已审核","待审核","完整"))))))</x:f>
        <x:v>未判定</x:v>
      </x:c>
      <x:c r="T154" s="88" t="str">
        <x:v>SY/T 6891.2-2020 表1 周边环境、9.2、10；AQ/T 3046-2013 9、附录E</x:v>
      </x:c>
    </x:row>
    <x:row r="155" ht="60" customHeight="1">
      <x:c r="A155" s="88" t="n">
        <x:v>151</x:v>
      </x:c>
      <x:c r="B155" s="88" t="str">
        <x:v>人口、建筑与敏感受体</x:v>
      </x:c>
      <x:c r="C155" s="88" t="str">
        <x:v>population_receptors.building_type</x:v>
      </x:c>
      <x:c r="D155" s="88" t="str">
        <x:v>建筑类型</x:v>
      </x:c>
      <x:c r="E155" s="88" t="str">
        <x:v>population_cell</x:v>
      </x:c>
      <x:c r="F155" s="88" t="str">
        <x:v>string</x:v>
      </x:c>
      <x:c r="G155" s="88" t="str">
        <x:v>—</x:v>
      </x:c>
      <x:c r="H155" s="88" t="str">
        <x:v>DIRECT_MODEL_INPUT；CONSEQUENCE_MODEL_INPUT；SEGMENTATION</x:v>
      </x:c>
      <x:c r="I155" s="88" t="str">
        <x:v>—</x:v>
      </x:c>
      <x:c r="J155" s="88" t="str">
        <x:v>engineering_indicators显式观测</x:v>
      </x:c>
      <x:c r="K155" s="89" t="str">
        <x:v>未判定</x:v>
      </x:c>
      <x:c r="L155" s="89"/>
      <x:c r="M155" s="89"/>
      <x:c r="N155" s="89"/>
      <x:c r="O155" s="90"/>
      <x:c r="P155" s="89"/>
      <x:c r="Q155" s="89"/>
      <x:c r="R155" s="89" t="str">
        <x:v>未审核</x:v>
      </x:c>
      <x:c r="S155" s="88" t="str">
        <x:f>IF(K155="未判定","未判定",IF(K155="不适用",IF(L155="","缺少不适用依据","已关闭"),IF(M155="","适用但缺值",IF(P155="","缺少来源",IF(Q155="","缺少填报人",IF(R155&lt;&gt;"已审核","待审核","完整"))))))</x:f>
        <x:v>未判定</x:v>
      </x:c>
      <x:c r="T155" s="88" t="str">
        <x:v>SY/T 6891.2-2020 表1 周边环境、10-11；AQ/T 3046-2013 10-13</x:v>
      </x:c>
    </x:row>
    <x:row r="156" ht="60" customHeight="1">
      <x:c r="A156" s="88" t="n">
        <x:v>152</x:v>
      </x:c>
      <x:c r="B156" s="88" t="str">
        <x:v>人口、建筑与敏感受体</x:v>
      </x:c>
      <x:c r="C156" s="88" t="str">
        <x:v>population_receptors.building_occupancy</x:v>
      </x:c>
      <x:c r="D156" s="88" t="str">
        <x:v>建筑占用类型</x:v>
      </x:c>
      <x:c r="E156" s="88" t="str">
        <x:v>population_cell</x:v>
      </x:c>
      <x:c r="F156" s="88" t="str">
        <x:v>string</x:v>
      </x:c>
      <x:c r="G156" s="88" t="str">
        <x:v>—</x:v>
      </x:c>
      <x:c r="H156" s="88" t="str">
        <x:v>DIRECT_MODEL_INPUT；CONSEQUENCE_MODEL_INPUT；SEGMENTATION</x:v>
      </x:c>
      <x:c r="I156" s="88" t="str">
        <x:v>—</x:v>
      </x:c>
      <x:c r="J156" s="88" t="str">
        <x:v>engineering_indicators显式观测</x:v>
      </x:c>
      <x:c r="K156" s="89" t="str">
        <x:v>未判定</x:v>
      </x:c>
      <x:c r="L156" s="89"/>
      <x:c r="M156" s="89"/>
      <x:c r="N156" s="89"/>
      <x:c r="O156" s="90"/>
      <x:c r="P156" s="89"/>
      <x:c r="Q156" s="89"/>
      <x:c r="R156" s="89" t="str">
        <x:v>未审核</x:v>
      </x:c>
      <x:c r="S156" s="88" t="str">
        <x:f>IF(K156="未判定","未判定",IF(K156="不适用",IF(L156="","缺少不适用依据","已关闭"),IF(M156="","适用但缺值",IF(P156="","缺少来源",IF(Q156="","缺少填报人",IF(R156&lt;&gt;"已审核","待审核","完整"))))))</x:f>
        <x:v>未判定</x:v>
      </x:c>
      <x:c r="T156" s="88" t="str">
        <x:v>SY/T 6891.2-2020 表1 周边环境、10-11；AQ/T 3046-2013 10-13</x:v>
      </x:c>
    </x:row>
    <x:row r="157" ht="60" customHeight="1">
      <x:c r="A157" s="88" t="n">
        <x:v>153</x:v>
      </x:c>
      <x:c r="B157" s="88" t="str">
        <x:v>人口、建筑与敏感受体</x:v>
      </x:c>
      <x:c r="C157" s="88" t="str">
        <x:v>population_receptors.building_overpressure_resistance_kpa</x:v>
      </x:c>
      <x:c r="D157" s="88" t="str">
        <x:v>建筑抗超压能力</x:v>
      </x:c>
      <x:c r="E157" s="88" t="str">
        <x:v>population_cell</x:v>
      </x:c>
      <x:c r="F157" s="88" t="str">
        <x:v>number</x:v>
      </x:c>
      <x:c r="G157" s="88" t="str">
        <x:v>kPa</x:v>
      </x:c>
      <x:c r="H157" s="88" t="str">
        <x:v>DIRECT_MODEL_INPUT；CONSEQUENCE_MODEL_INPUT；SEGMENTATION</x:v>
      </x:c>
      <x:c r="I157" s="88" t="str">
        <x:v>—</x:v>
      </x:c>
      <x:c r="J157" s="88" t="str">
        <x:v>engineering_indicators显式观测</x:v>
      </x:c>
      <x:c r="K157" s="89" t="str">
        <x:v>未判定</x:v>
      </x:c>
      <x:c r="L157" s="89"/>
      <x:c r="M157" s="89"/>
      <x:c r="N157" s="89"/>
      <x:c r="O157" s="90"/>
      <x:c r="P157" s="89"/>
      <x:c r="Q157" s="89"/>
      <x:c r="R157" s="89" t="str">
        <x:v>未审核</x:v>
      </x:c>
      <x:c r="S157" s="88" t="str">
        <x:f>IF(K157="未判定","未判定",IF(K157="不适用",IF(L157="","缺少不适用依据","已关闭"),IF(M157="","适用但缺值",IF(P157="","缺少来源",IF(Q157="","缺少填报人",IF(R157&lt;&gt;"已审核","待审核","完整"))))))</x:f>
        <x:v>未判定</x:v>
      </x:c>
      <x:c r="T157" s="88" t="str">
        <x:v>SY/T 6891.2-2020 表1 周边环境、10-11；AQ/T 3046-2013 10-13</x:v>
      </x:c>
    </x:row>
    <x:row r="158" ht="60" customHeight="1">
      <x:c r="A158" s="88" t="n">
        <x:v>154</x:v>
      </x:c>
      <x:c r="B158" s="88" t="str">
        <x:v>人口、建筑与敏感受体</x:v>
      </x:c>
      <x:c r="C158" s="88" t="str">
        <x:v>population_receptors.building_thermal_shelter_factor</x:v>
      </x:c>
      <x:c r="D158" s="88" t="str">
        <x:v>建筑热辐射遮蔽系数</x:v>
      </x:c>
      <x:c r="E158" s="88" t="str">
        <x:v>population_cell</x:v>
      </x:c>
      <x:c r="F158" s="88" t="str">
        <x:v>number</x:v>
      </x:c>
      <x:c r="G158" s="88" t="str">
        <x:v>—</x:v>
      </x:c>
      <x:c r="H158" s="88" t="str">
        <x:v>DIRECT_MODEL_INPUT；CONSEQUENCE_MODEL_INPUT；SEGMENTATION</x:v>
      </x:c>
      <x:c r="I158" s="88" t="str">
        <x:v>—</x:v>
      </x:c>
      <x:c r="J158" s="88" t="str">
        <x:v>engineering_indicators显式观测</x:v>
      </x:c>
      <x:c r="K158" s="89" t="str">
        <x:v>未判定</x:v>
      </x:c>
      <x:c r="L158" s="89"/>
      <x:c r="M158" s="89"/>
      <x:c r="N158" s="89"/>
      <x:c r="O158" s="90"/>
      <x:c r="P158" s="89"/>
      <x:c r="Q158" s="89"/>
      <x:c r="R158" s="89" t="str">
        <x:v>未审核</x:v>
      </x:c>
      <x:c r="S158" s="88" t="str">
        <x:f>IF(K158="未判定","未判定",IF(K158="不适用",IF(L158="","缺少不适用依据","已关闭"),IF(M158="","适用但缺值",IF(P158="","缺少来源",IF(Q158="","缺少填报人",IF(R158&lt;&gt;"已审核","待审核","完整"))))))</x:f>
        <x:v>未判定</x:v>
      </x:c>
      <x:c r="T158" s="88" t="str">
        <x:v>SY/T 6891.2-2020 表1 周边环境、10-11；AQ/T 3046-2013 10-13</x:v>
      </x:c>
    </x:row>
    <x:row r="159" ht="60" customHeight="1">
      <x:c r="A159" s="88" t="n">
        <x:v>155</x:v>
      </x:c>
      <x:c r="B159" s="88" t="str">
        <x:v>人口、建筑与敏感受体</x:v>
      </x:c>
      <x:c r="C159" s="88" t="str">
        <x:v>population_receptors.school_present</x:v>
      </x:c>
      <x:c r="D159" s="88" t="str">
        <x:v>学校受体</x:v>
      </x:c>
      <x:c r="E159" s="88" t="str">
        <x:v>population_cell</x:v>
      </x:c>
      <x:c r="F159" s="88" t="str">
        <x:v>boolean</x:v>
      </x:c>
      <x:c r="G159" s="88" t="str">
        <x:v>—</x:v>
      </x:c>
      <x:c r="H159" s="88" t="str">
        <x:v>DIRECT_MODEL_INPUT；CONSEQUENCE_MODEL_INPUT；SEGMENTATION</x:v>
      </x:c>
      <x:c r="I159" s="88" t="str">
        <x:v>—</x:v>
      </x:c>
      <x:c r="J159" s="88" t="str">
        <x:v>engineering_indicators显式观测</x:v>
      </x:c>
      <x:c r="K159" s="89" t="str">
        <x:v>未判定</x:v>
      </x:c>
      <x:c r="L159" s="89"/>
      <x:c r="M159" s="89"/>
      <x:c r="N159" s="89"/>
      <x:c r="O159" s="90"/>
      <x:c r="P159" s="89"/>
      <x:c r="Q159" s="89"/>
      <x:c r="R159" s="89" t="str">
        <x:v>未审核</x:v>
      </x:c>
      <x:c r="S159" s="88" t="str">
        <x:f>IF(K159="未判定","未判定",IF(K159="不适用",IF(L159="","缺少不适用依据","已关闭"),IF(M159="","适用但缺值",IF(P159="","缺少来源",IF(Q159="","缺少填报人",IF(R159&lt;&gt;"已审核","待审核","完整"))))))</x:f>
        <x:v>未判定</x:v>
      </x:c>
      <x:c r="T159" s="88" t="str">
        <x:v>SY/T 6891.2-2020 表1 周边环境、10-11；AQ/T 3046-2013 10-13</x:v>
      </x:c>
    </x:row>
    <x:row r="160" ht="60" customHeight="1">
      <x:c r="A160" s="88" t="n">
        <x:v>156</x:v>
      </x:c>
      <x:c r="B160" s="88" t="str">
        <x:v>人口、建筑与敏感受体</x:v>
      </x:c>
      <x:c r="C160" s="88" t="str">
        <x:v>population_receptors.hospital_present</x:v>
      </x:c>
      <x:c r="D160" s="88" t="str">
        <x:v>医院受体</x:v>
      </x:c>
      <x:c r="E160" s="88" t="str">
        <x:v>population_cell</x:v>
      </x:c>
      <x:c r="F160" s="88" t="str">
        <x:v>boolean</x:v>
      </x:c>
      <x:c r="G160" s="88" t="str">
        <x:v>—</x:v>
      </x:c>
      <x:c r="H160" s="88" t="str">
        <x:v>DIRECT_MODEL_INPUT；CONSEQUENCE_MODEL_INPUT；SEGMENTATION</x:v>
      </x:c>
      <x:c r="I160" s="88" t="str">
        <x:v>—</x:v>
      </x:c>
      <x:c r="J160" s="88" t="str">
        <x:v>engineering_indicators显式观测</x:v>
      </x:c>
      <x:c r="K160" s="89" t="str">
        <x:v>未判定</x:v>
      </x:c>
      <x:c r="L160" s="89"/>
      <x:c r="M160" s="89"/>
      <x:c r="N160" s="89"/>
      <x:c r="O160" s="90"/>
      <x:c r="P160" s="89"/>
      <x:c r="Q160" s="89"/>
      <x:c r="R160" s="89" t="str">
        <x:v>未审核</x:v>
      </x:c>
      <x:c r="S160" s="88" t="str">
        <x:f>IF(K160="未判定","未判定",IF(K160="不适用",IF(L160="","缺少不适用依据","已关闭"),IF(M160="","适用但缺值",IF(P160="","缺少来源",IF(Q160="","缺少填报人",IF(R160&lt;&gt;"已审核","待审核","完整"))))))</x:f>
        <x:v>未判定</x:v>
      </x:c>
      <x:c r="T160" s="88" t="str">
        <x:v>SY/T 6891.2-2020 表1 周边环境、10-11；AQ/T 3046-2013 10-13</x:v>
      </x:c>
    </x:row>
    <x:row r="161" ht="60" customHeight="1">
      <x:c r="A161" s="88" t="n">
        <x:v>157</x:v>
      </x:c>
      <x:c r="B161" s="88" t="str">
        <x:v>人口、建筑与敏感受体</x:v>
      </x:c>
      <x:c r="C161" s="88" t="str">
        <x:v>population_receptors.dense_residential_present</x:v>
      </x:c>
      <x:c r="D161" s="88" t="str">
        <x:v>密集居民区</x:v>
      </x:c>
      <x:c r="E161" s="88" t="str">
        <x:v>population_cell</x:v>
      </x:c>
      <x:c r="F161" s="88" t="str">
        <x:v>boolean</x:v>
      </x:c>
      <x:c r="G161" s="88" t="str">
        <x:v>—</x:v>
      </x:c>
      <x:c r="H161" s="88" t="str">
        <x:v>DIRECT_MODEL_INPUT；CONSEQUENCE_MODEL_INPUT；SEGMENTATION</x:v>
      </x:c>
      <x:c r="I161" s="88" t="str">
        <x:v>—</x:v>
      </x:c>
      <x:c r="J161" s="88" t="str">
        <x:v>engineering_indicators显式观测</x:v>
      </x:c>
      <x:c r="K161" s="89" t="str">
        <x:v>未判定</x:v>
      </x:c>
      <x:c r="L161" s="89"/>
      <x:c r="M161" s="89"/>
      <x:c r="N161" s="89"/>
      <x:c r="O161" s="90"/>
      <x:c r="P161" s="89"/>
      <x:c r="Q161" s="89"/>
      <x:c r="R161" s="89" t="str">
        <x:v>未审核</x:v>
      </x:c>
      <x:c r="S161" s="88" t="str">
        <x:f>IF(K161="未判定","未判定",IF(K161="不适用",IF(L161="","缺少不适用依据","已关闭"),IF(M161="","适用但缺值",IF(P161="","缺少来源",IF(Q161="","缺少填报人",IF(R161&lt;&gt;"已审核","待审核","完整"))))))</x:f>
        <x:v>未判定</x:v>
      </x:c>
      <x:c r="T161" s="88" t="str">
        <x:v>SY/T 6891.2-2020 表1 周边环境、10-11；AQ/T 3046-2013 10-13</x:v>
      </x:c>
    </x:row>
    <x:row r="162" ht="60" customHeight="1">
      <x:c r="A162" s="88" t="n">
        <x:v>158</x:v>
      </x:c>
      <x:c r="B162" s="88" t="str">
        <x:v>人口、建筑与敏感受体</x:v>
      </x:c>
      <x:c r="C162" s="88" t="str">
        <x:v>population_receptors.evacuation_response_time_s</x:v>
      </x:c>
      <x:c r="D162" s="88" t="str">
        <x:v>人员疏散响应时间</x:v>
      </x:c>
      <x:c r="E162" s="88" t="str">
        <x:v>population_cell</x:v>
      </x:c>
      <x:c r="F162" s="88" t="str">
        <x:v>number</x:v>
      </x:c>
      <x:c r="G162" s="88" t="str">
        <x:v>s</x:v>
      </x:c>
      <x:c r="H162" s="88" t="str">
        <x:v>DIRECT_MODEL_INPUT；CONSEQUENCE_MODEL_INPUT；SEGMENTATION</x:v>
      </x:c>
      <x:c r="I162" s="88" t="str">
        <x:v>—</x:v>
      </x:c>
      <x:c r="J162" s="88" t="str">
        <x:v>engineering_indicators显式观测</x:v>
      </x:c>
      <x:c r="K162" s="89" t="str">
        <x:v>未判定</x:v>
      </x:c>
      <x:c r="L162" s="89"/>
      <x:c r="M162" s="89"/>
      <x:c r="N162" s="89"/>
      <x:c r="O162" s="90"/>
      <x:c r="P162" s="89"/>
      <x:c r="Q162" s="89"/>
      <x:c r="R162" s="89" t="str">
        <x:v>未审核</x:v>
      </x:c>
      <x:c r="S162" s="88" t="str">
        <x:f>IF(K162="未判定","未判定",IF(K162="不适用",IF(L162="","缺少不适用依据","已关闭"),IF(M162="","适用但缺值",IF(P162="","缺少来源",IF(Q162="","缺少填报人",IF(R162&lt;&gt;"已审核","待审核","完整"))))))</x:f>
        <x:v>未判定</x:v>
      </x:c>
      <x:c r="T162" s="88" t="str">
        <x:v>SY/T 6891.2-2020 表1 周边环境、10-11；AQ/T 3046-2013 10-13</x:v>
      </x:c>
    </x:row>
    <x:row r="163" ht="60" customHeight="1">
      <x:c r="A163" s="88" t="n">
        <x:v>159</x:v>
      </x:c>
      <x:c r="B163" s="88" t="str">
        <x:v>点火源、约束与拥塞</x:v>
      </x:c>
      <x:c r="C163" s="88" t="str">
        <x:v>ignition_congestion.point_ignition_source_count</x:v>
      </x:c>
      <x:c r="D163" s="88" t="str">
        <x:v>点火点源数量</x:v>
      </x:c>
      <x:c r="E163" s="88" t="str">
        <x:v>segment_or_source</x:v>
      </x:c>
      <x:c r="F163" s="88" t="str">
        <x:v>integer</x:v>
      </x:c>
      <x:c r="G163" s="88" t="str">
        <x:v>count</x:v>
      </x:c>
      <x:c r="H163" s="88" t="str">
        <x:v>CONSEQUENCE_MODEL_INPUT；EVENT_TREE_INPUT</x:v>
      </x:c>
      <x:c r="I163" s="88" t="str">
        <x:v>—</x:v>
      </x:c>
      <x:c r="J163" s="88" t="str">
        <x:v>engineering_indicators显式观测</x:v>
      </x:c>
      <x:c r="K163" s="89" t="str">
        <x:v>未判定</x:v>
      </x:c>
      <x:c r="L163" s="89"/>
      <x:c r="M163" s="89"/>
      <x:c r="N163" s="89"/>
      <x:c r="O163" s="90"/>
      <x:c r="P163" s="89"/>
      <x:c r="Q163" s="89"/>
      <x:c r="R163" s="89" t="str">
        <x:v>未审核</x:v>
      </x:c>
      <x:c r="S163" s="88" t="str">
        <x:f>IF(K163="未判定","未判定",IF(K163="不适用",IF(L163="","缺少不适用依据","已关闭"),IF(M163="","适用但缺值",IF(P163="","缺少来源",IF(Q163="","缺少填报人",IF(R163&lt;&gt;"已审核","待审核","完整"))))))</x:f>
        <x:v>未判定</x:v>
      </x:c>
      <x:c r="T163" s="88" t="str">
        <x:v>SY/T 6891.2-2020 附录D-E；AQ/T 3046-2013 附录E.4.4、G</x:v>
      </x:c>
    </x:row>
    <x:row r="164" ht="60" customHeight="1">
      <x:c r="A164" s="88" t="n">
        <x:v>160</x:v>
      </x:c>
      <x:c r="B164" s="88" t="str">
        <x:v>点火源、约束与拥塞</x:v>
      </x:c>
      <x:c r="C164" s="88" t="str">
        <x:v>ignition_congestion.line_ignition_source_length_m</x:v>
      </x:c>
      <x:c r="D164" s="88" t="str">
        <x:v>点火线源长度</x:v>
      </x:c>
      <x:c r="E164" s="88" t="str">
        <x:v>segment_or_source</x:v>
      </x:c>
      <x:c r="F164" s="88" t="str">
        <x:v>number</x:v>
      </x:c>
      <x:c r="G164" s="88" t="str">
        <x:v>m</x:v>
      </x:c>
      <x:c r="H164" s="88" t="str">
        <x:v>CONSEQUENCE_MODEL_INPUT；EVENT_TREE_INPUT</x:v>
      </x:c>
      <x:c r="I164" s="88" t="str">
        <x:v>—</x:v>
      </x:c>
      <x:c r="J164" s="88" t="str">
        <x:v>engineering_indicators显式观测</x:v>
      </x:c>
      <x:c r="K164" s="89" t="str">
        <x:v>未判定</x:v>
      </x:c>
      <x:c r="L164" s="89"/>
      <x:c r="M164" s="89"/>
      <x:c r="N164" s="89"/>
      <x:c r="O164" s="90"/>
      <x:c r="P164" s="89"/>
      <x:c r="Q164" s="89"/>
      <x:c r="R164" s="89" t="str">
        <x:v>未审核</x:v>
      </x:c>
      <x:c r="S164" s="88" t="str">
        <x:f>IF(K164="未判定","未判定",IF(K164="不适用",IF(L164="","缺少不适用依据","已关闭"),IF(M164="","适用但缺值",IF(P164="","缺少来源",IF(Q164="","缺少填报人",IF(R164&lt;&gt;"已审核","待审核","完整"))))))</x:f>
        <x:v>未判定</x:v>
      </x:c>
      <x:c r="T164" s="88" t="str">
        <x:v>SY/T 6891.2-2020 附录D-E；AQ/T 3046-2013 附录E.4.4、G</x:v>
      </x:c>
    </x:row>
    <x:row r="165" ht="60" customHeight="1">
      <x:c r="A165" s="88" t="n">
        <x:v>161</x:v>
      </x:c>
      <x:c r="B165" s="88" t="str">
        <x:v>点火源、约束与拥塞</x:v>
      </x:c>
      <x:c r="C165" s="88" t="str">
        <x:v>ignition_congestion.area_ignition_source_area_m2</x:v>
      </x:c>
      <x:c r="D165" s="88" t="str">
        <x:v>点火面源面积</x:v>
      </x:c>
      <x:c r="E165" s="88" t="str">
        <x:v>segment_or_source</x:v>
      </x:c>
      <x:c r="F165" s="88" t="str">
        <x:v>number</x:v>
      </x:c>
      <x:c r="G165" s="88" t="str">
        <x:v>m2</x:v>
      </x:c>
      <x:c r="H165" s="88" t="str">
        <x:v>CONSEQUENCE_MODEL_INPUT；EVENT_TREE_INPUT</x:v>
      </x:c>
      <x:c r="I165" s="88" t="str">
        <x:v>—</x:v>
      </x:c>
      <x:c r="J165" s="88" t="str">
        <x:v>engineering_indicators显式观测</x:v>
      </x:c>
      <x:c r="K165" s="89" t="str">
        <x:v>未判定</x:v>
      </x:c>
      <x:c r="L165" s="89"/>
      <x:c r="M165" s="89"/>
      <x:c r="N165" s="89"/>
      <x:c r="O165" s="90"/>
      <x:c r="P165" s="89"/>
      <x:c r="Q165" s="89"/>
      <x:c r="R165" s="89" t="str">
        <x:v>未审核</x:v>
      </x:c>
      <x:c r="S165" s="88" t="str">
        <x:f>IF(K165="未判定","未判定",IF(K165="不适用",IF(L165="","缺少不适用依据","已关闭"),IF(M165="","适用但缺值",IF(P165="","缺少来源",IF(Q165="","缺少填报人",IF(R165&lt;&gt;"已审核","待审核","完整"))))))</x:f>
        <x:v>未判定</x:v>
      </x:c>
      <x:c r="T165" s="88" t="str">
        <x:v>SY/T 6891.2-2020 附录D-E；AQ/T 3046-2013 附录E.4.4、G</x:v>
      </x:c>
    </x:row>
    <x:row r="166" ht="60" customHeight="1">
      <x:c r="A166" s="88" t="n">
        <x:v>162</x:v>
      </x:c>
      <x:c r="B166" s="88" t="str">
        <x:v>点火源、约束与拥塞</x:v>
      </x:c>
      <x:c r="C166" s="88" t="str">
        <x:v>ignition_congestion.ignition_source_presence_probability</x:v>
      </x:c>
      <x:c r="D166" s="88" t="str">
        <x:v>点火源存在概率</x:v>
      </x:c>
      <x:c r="E166" s="88" t="str">
        <x:v>segment_or_source</x:v>
      </x:c>
      <x:c r="F166" s="88" t="str">
        <x:v>number</x:v>
      </x:c>
      <x:c r="G166" s="88" t="str">
        <x:v>—</x:v>
      </x:c>
      <x:c r="H166" s="88" t="str">
        <x:v>CONSEQUENCE_MODEL_INPUT；EVENT_TREE_INPUT</x:v>
      </x:c>
      <x:c r="I166" s="88" t="str">
        <x:v>—</x:v>
      </x:c>
      <x:c r="J166" s="88" t="str">
        <x:v>engineering_indicators显式观测</x:v>
      </x:c>
      <x:c r="K166" s="89" t="str">
        <x:v>未判定</x:v>
      </x:c>
      <x:c r="L166" s="89"/>
      <x:c r="M166" s="89"/>
      <x:c r="N166" s="89"/>
      <x:c r="O166" s="90"/>
      <x:c r="P166" s="89"/>
      <x:c r="Q166" s="89"/>
      <x:c r="R166" s="89" t="str">
        <x:v>未审核</x:v>
      </x:c>
      <x:c r="S166" s="88" t="str">
        <x:f>IF(K166="未判定","未判定",IF(K166="不适用",IF(L166="","缺少不适用依据","已关闭"),IF(M166="","适用但缺值",IF(P166="","缺少来源",IF(Q166="","缺少填报人",IF(R166&lt;&gt;"已审核","待审核","完整"))))))</x:f>
        <x:v>未判定</x:v>
      </x:c>
      <x:c r="T166" s="88" t="str">
        <x:v>SY/T 6891.2-2020 附录D-E；AQ/T 3046-2013 附录E.4.4、G</x:v>
      </x:c>
    </x:row>
    <x:row r="167" ht="60" customHeight="1">
      <x:c r="A167" s="88" t="n">
        <x:v>163</x:v>
      </x:c>
      <x:c r="B167" s="88" t="str">
        <x:v>点火源、约束与拥塞</x:v>
      </x:c>
      <x:c r="C167" s="88" t="str">
        <x:v>ignition_congestion.ignition_efficiency_per_s</x:v>
      </x:c>
      <x:c r="D167" s="88" t="str">
        <x:v>点火效率</x:v>
      </x:c>
      <x:c r="E167" s="88" t="str">
        <x:v>segment_or_source</x:v>
      </x:c>
      <x:c r="F167" s="88" t="str">
        <x:v>number</x:v>
      </x:c>
      <x:c r="G167" s="88" t="str">
        <x:v>1/s</x:v>
      </x:c>
      <x:c r="H167" s="88" t="str">
        <x:v>CONSEQUENCE_MODEL_INPUT；EVENT_TREE_INPUT</x:v>
      </x:c>
      <x:c r="I167" s="88" t="str">
        <x:v>—</x:v>
      </x:c>
      <x:c r="J167" s="88" t="str">
        <x:v>engineering_indicators显式观测</x:v>
      </x:c>
      <x:c r="K167" s="89" t="str">
        <x:v>未判定</x:v>
      </x:c>
      <x:c r="L167" s="89"/>
      <x:c r="M167" s="89"/>
      <x:c r="N167" s="89"/>
      <x:c r="O167" s="90"/>
      <x:c r="P167" s="89"/>
      <x:c r="Q167" s="89"/>
      <x:c r="R167" s="89" t="str">
        <x:v>未审核</x:v>
      </x:c>
      <x:c r="S167" s="88" t="str">
        <x:f>IF(K167="未判定","未判定",IF(K167="不适用",IF(L167="","缺少不适用依据","已关闭"),IF(M167="","适用但缺值",IF(P167="","缺少来源",IF(Q167="","缺少填报人",IF(R167&lt;&gt;"已审核","待审核","完整"))))))</x:f>
        <x:v>未判定</x:v>
      </x:c>
      <x:c r="T167" s="88" t="str">
        <x:v>SY/T 6891.2-2020 附录D-E；AQ/T 3046-2013 附录E.4.4、G</x:v>
      </x:c>
    </x:row>
    <x:row r="168" ht="60" customHeight="1">
      <x:c r="A168" s="88" t="n">
        <x:v>164</x:v>
      </x:c>
      <x:c r="B168" s="88" t="str">
        <x:v>点火源、约束与拥塞</x:v>
      </x:c>
      <x:c r="C168" s="88" t="str">
        <x:v>ignition_congestion.cloud_exposure_time_s</x:v>
      </x:c>
      <x:c r="D168" s="88" t="str">
        <x:v>气云经过点火源时间</x:v>
      </x:c>
      <x:c r="E168" s="88" t="str">
        <x:v>segment_or_source</x:v>
      </x:c>
      <x:c r="F168" s="88" t="str">
        <x:v>number</x:v>
      </x:c>
      <x:c r="G168" s="88" t="str">
        <x:v>s</x:v>
      </x:c>
      <x:c r="H168" s="88" t="str">
        <x:v>CONSEQUENCE_MODEL_INPUT；EVENT_TREE_INPUT</x:v>
      </x:c>
      <x:c r="I168" s="88" t="str">
        <x:v>—</x:v>
      </x:c>
      <x:c r="J168" s="88" t="str">
        <x:v>engineering_indicators显式观测</x:v>
      </x:c>
      <x:c r="K168" s="89" t="str">
        <x:v>未判定</x:v>
      </x:c>
      <x:c r="L168" s="89"/>
      <x:c r="M168" s="89"/>
      <x:c r="N168" s="89"/>
      <x:c r="O168" s="90"/>
      <x:c r="P168" s="89"/>
      <x:c r="Q168" s="89"/>
      <x:c r="R168" s="89" t="str">
        <x:v>未审核</x:v>
      </x:c>
      <x:c r="S168" s="88" t="str">
        <x:f>IF(K168="未判定","未判定",IF(K168="不适用",IF(L168="","缺少不适用依据","已关闭"),IF(M168="","适用但缺值",IF(P168="","缺少来源",IF(Q168="","缺少填报人",IF(R168&lt;&gt;"已审核","待审核","完整"))))))</x:f>
        <x:v>未判定</x:v>
      </x:c>
      <x:c r="T168" s="88" t="str">
        <x:v>SY/T 6891.2-2020 附录D-E；AQ/T 3046-2013 附录E.4.4、G</x:v>
      </x:c>
    </x:row>
    <x:row r="169" ht="60" customHeight="1">
      <x:c r="A169" s="88" t="n">
        <x:v>165</x:v>
      </x:c>
      <x:c r="B169" s="88" t="str">
        <x:v>点火源、约束与拥塞</x:v>
      </x:c>
      <x:c r="C169" s="88" t="str">
        <x:v>ignition_congestion.congestion_fraction</x:v>
      </x:c>
      <x:c r="D169" s="88" t="str">
        <x:v>拥塞率</x:v>
      </x:c>
      <x:c r="E169" s="88" t="str">
        <x:v>segment_or_source</x:v>
      </x:c>
      <x:c r="F169" s="88" t="str">
        <x:v>number</x:v>
      </x:c>
      <x:c r="G169" s="88" t="str">
        <x:v>—</x:v>
      </x:c>
      <x:c r="H169" s="88" t="str">
        <x:v>CONSEQUENCE_MODEL_INPUT；EVENT_TREE_INPUT</x:v>
      </x:c>
      <x:c r="I169" s="88" t="str">
        <x:v>—</x:v>
      </x:c>
      <x:c r="J169" s="88" t="str">
        <x:v>engineering_indicators显式观测</x:v>
      </x:c>
      <x:c r="K169" s="89" t="str">
        <x:v>未判定</x:v>
      </x:c>
      <x:c r="L169" s="89"/>
      <x:c r="M169" s="89"/>
      <x:c r="N169" s="89"/>
      <x:c r="O169" s="90"/>
      <x:c r="P169" s="89"/>
      <x:c r="Q169" s="89"/>
      <x:c r="R169" s="89" t="str">
        <x:v>未审核</x:v>
      </x:c>
      <x:c r="S169" s="88" t="str">
        <x:f>IF(K169="未判定","未判定",IF(K169="不适用",IF(L169="","缺少不适用依据","已关闭"),IF(M169="","适用但缺值",IF(P169="","缺少来源",IF(Q169="","缺少填报人",IF(R169&lt;&gt;"已审核","待审核","完整"))))))</x:f>
        <x:v>未判定</x:v>
      </x:c>
      <x:c r="T169" s="88" t="str">
        <x:v>SY/T 6891.2-2020 附录D-E；AQ/T 3046-2013 附录E.4.4、G</x:v>
      </x:c>
    </x:row>
    <x:row r="170" ht="60" customHeight="1">
      <x:c r="A170" s="88" t="n">
        <x:v>166</x:v>
      </x:c>
      <x:c r="B170" s="88" t="str">
        <x:v>点火源、约束与拥塞</x:v>
      </x:c>
      <x:c r="C170" s="88" t="str">
        <x:v>ignition_congestion.confinement_fraction</x:v>
      </x:c>
      <x:c r="D170" s="88" t="str">
        <x:v>约束率</x:v>
      </x:c>
      <x:c r="E170" s="88" t="str">
        <x:v>segment_or_source</x:v>
      </x:c>
      <x:c r="F170" s="88" t="str">
        <x:v>number</x:v>
      </x:c>
      <x:c r="G170" s="88" t="str">
        <x:v>—</x:v>
      </x:c>
      <x:c r="H170" s="88" t="str">
        <x:v>CONSEQUENCE_MODEL_INPUT；EVENT_TREE_INPUT</x:v>
      </x:c>
      <x:c r="I170" s="88" t="str">
        <x:v>—</x:v>
      </x:c>
      <x:c r="J170" s="88" t="str">
        <x:v>engineering_indicators显式观测</x:v>
      </x:c>
      <x:c r="K170" s="89" t="str">
        <x:v>未判定</x:v>
      </x:c>
      <x:c r="L170" s="89"/>
      <x:c r="M170" s="89"/>
      <x:c r="N170" s="89"/>
      <x:c r="O170" s="90"/>
      <x:c r="P170" s="89"/>
      <x:c r="Q170" s="89"/>
      <x:c r="R170" s="89" t="str">
        <x:v>未审核</x:v>
      </x:c>
      <x:c r="S170" s="88" t="str">
        <x:f>IF(K170="未判定","未判定",IF(K170="不适用",IF(L170="","缺少不适用依据","已关闭"),IF(M170="","适用但缺值",IF(P170="","缺少来源",IF(Q170="","缺少填报人",IF(R170&lt;&gt;"已审核","待审核","完整"))))))</x:f>
        <x:v>未判定</x:v>
      </x:c>
      <x:c r="T170" s="88" t="str">
        <x:v>SY/T 6891.2-2020 附录D-E；AQ/T 3046-2013 附录E.4.4、G</x:v>
      </x:c>
    </x:row>
    <x:row r="171" ht="60" customHeight="1">
      <x:c r="A171" s="88" t="n">
        <x:v>167</x:v>
      </x:c>
      <x:c r="B171" s="88" t="str">
        <x:v>点火源、约束与拥塞</x:v>
      </x:c>
      <x:c r="C171" s="88" t="str">
        <x:v>ignition_congestion.explosion_source_volume_m3</x:v>
      </x:c>
      <x:c r="D171" s="88" t="str">
        <x:v>爆炸源体积</x:v>
      </x:c>
      <x:c r="E171" s="88" t="str">
        <x:v>segment_or_source</x:v>
      </x:c>
      <x:c r="F171" s="88" t="str">
        <x:v>number</x:v>
      </x:c>
      <x:c r="G171" s="88" t="str">
        <x:v>m3</x:v>
      </x:c>
      <x:c r="H171" s="88" t="str">
        <x:v>CONSEQUENCE_MODEL_INPUT；EVENT_TREE_INPUT</x:v>
      </x:c>
      <x:c r="I171" s="88" t="str">
        <x:v>—</x:v>
      </x:c>
      <x:c r="J171" s="88" t="str">
        <x:v>engineering_indicators显式观测</x:v>
      </x:c>
      <x:c r="K171" s="89" t="str">
        <x:v>未判定</x:v>
      </x:c>
      <x:c r="L171" s="89"/>
      <x:c r="M171" s="89"/>
      <x:c r="N171" s="89"/>
      <x:c r="O171" s="90"/>
      <x:c r="P171" s="89"/>
      <x:c r="Q171" s="89"/>
      <x:c r="R171" s="89" t="str">
        <x:v>未审核</x:v>
      </x:c>
      <x:c r="S171" s="88" t="str">
        <x:f>IF(K171="未判定","未判定",IF(K171="不适用",IF(L171="","缺少不适用依据","已关闭"),IF(M171="","适用但缺值",IF(P171="","缺少来源",IF(Q171="","缺少填报人",IF(R171&lt;&gt;"已审核","待审核","完整"))))))</x:f>
        <x:v>未判定</x:v>
      </x:c>
      <x:c r="T171" s="88" t="str">
        <x:v>SY/T 6891.2-2020 附录D-E；AQ/T 3046-2013 附录E.4.4、G</x:v>
      </x:c>
    </x:row>
    <x:row r="172" ht="60" customHeight="1">
      <x:c r="A172" s="88" t="n">
        <x:v>168</x:v>
      </x:c>
      <x:c r="B172" s="88" t="str">
        <x:v>点火源、约束与拥塞</x:v>
      </x:c>
      <x:c r="C172" s="88" t="str">
        <x:v>ignition_congestion.tno_source_strength</x:v>
      </x:c>
      <x:c r="D172" s="88" t="str">
        <x:v>TNO爆炸强度等级</x:v>
      </x:c>
      <x:c r="E172" s="88" t="str">
        <x:v>segment_or_source</x:v>
      </x:c>
      <x:c r="F172" s="88" t="str">
        <x:v>integer</x:v>
      </x:c>
      <x:c r="G172" s="88" t="str">
        <x:v>—</x:v>
      </x:c>
      <x:c r="H172" s="88" t="str">
        <x:v>CONSEQUENCE_MODEL_INPUT；EVENT_TREE_INPUT</x:v>
      </x:c>
      <x:c r="I172" s="88" t="str">
        <x:v>—</x:v>
      </x:c>
      <x:c r="J172" s="88" t="str">
        <x:v>engineering_indicators显式观测</x:v>
      </x:c>
      <x:c r="K172" s="89" t="str">
        <x:v>未判定</x:v>
      </x:c>
      <x:c r="L172" s="89"/>
      <x:c r="M172" s="89"/>
      <x:c r="N172" s="89"/>
      <x:c r="O172" s="90"/>
      <x:c r="P172" s="89"/>
      <x:c r="Q172" s="89"/>
      <x:c r="R172" s="89" t="str">
        <x:v>未审核</x:v>
      </x:c>
      <x:c r="S172" s="88" t="str">
        <x:f>IF(K172="未判定","未判定",IF(K172="不适用",IF(L172="","缺少不适用依据","已关闭"),IF(M172="","适用但缺值",IF(P172="","缺少来源",IF(Q172="","缺少填报人",IF(R172&lt;&gt;"已审核","待审核","完整"))))))</x:f>
        <x:v>未判定</x:v>
      </x:c>
      <x:c r="T172" s="88" t="str">
        <x:v>SY/T 6891.2-2020 附录D-E；AQ/T 3046-2013 附录E.4.4、G</x:v>
      </x:c>
    </x:row>
    <x:row r="173" ht="60" customHeight="1">
      <x:c r="A173" s="88" t="n">
        <x:v>169</x:v>
      </x:c>
      <x:c r="B173" s="88" t="str">
        <x:v>点火源、约束与拥塞</x:v>
      </x:c>
      <x:c r="C173" s="88" t="str">
        <x:v>ignition_congestion.vce_given_delayed_probability</x:v>
      </x:c>
      <x:c r="D173" s="88" t="str">
        <x:v>延迟点火后VCE条件概率</x:v>
      </x:c>
      <x:c r="E173" s="88" t="str">
        <x:v>segment_or_source</x:v>
      </x:c>
      <x:c r="F173" s="88" t="str">
        <x:v>number</x:v>
      </x:c>
      <x:c r="G173" s="88" t="str">
        <x:v>—</x:v>
      </x:c>
      <x:c r="H173" s="88" t="str">
        <x:v>CONSEQUENCE_MODEL_INPUT；EVENT_TREE_INPUT</x:v>
      </x:c>
      <x:c r="I173" s="88" t="str">
        <x:v>—</x:v>
      </x:c>
      <x:c r="J173" s="88" t="str">
        <x:v>engineering_indicators显式观测</x:v>
      </x:c>
      <x:c r="K173" s="89" t="str">
        <x:v>未判定</x:v>
      </x:c>
      <x:c r="L173" s="89"/>
      <x:c r="M173" s="89"/>
      <x:c r="N173" s="89"/>
      <x:c r="O173" s="90"/>
      <x:c r="P173" s="89"/>
      <x:c r="Q173" s="89"/>
      <x:c r="R173" s="89" t="str">
        <x:v>未审核</x:v>
      </x:c>
      <x:c r="S173" s="88" t="str">
        <x:f>IF(K173="未判定","未判定",IF(K173="不适用",IF(L173="","缺少不适用依据","已关闭"),IF(M173="","适用但缺值",IF(P173="","缺少来源",IF(Q173="","缺少填报人",IF(R173&lt;&gt;"已审核","待审核","完整"))))))</x:f>
        <x:v>未判定</x:v>
      </x:c>
      <x:c r="T173" s="88" t="str">
        <x:v>SY/T 6891.2-2020 附录D-E；AQ/T 3046-2013 附录E.4.4、G</x:v>
      </x:c>
    </x:row>
    <x:row r="174" ht="60" customHeight="1">
      <x:c r="A174" s="88" t="n">
        <x:v>170</x:v>
      </x:c>
      <x:c r="B174" s="88" t="str">
        <x:v>运行管理、人因与应急</x:v>
      </x:c>
      <x:c r="C174" s="88" t="str">
        <x:v>management_emergency.procedure_compliance_fraction</x:v>
      </x:c>
      <x:c r="D174" s="88" t="str">
        <x:v>规程执行符合率</x:v>
      </x:c>
      <x:c r="E174" s="88" t="str">
        <x:v>pipeline_or_segment</x:v>
      </x:c>
      <x:c r="F174" s="88" t="str">
        <x:v>number</x:v>
      </x:c>
      <x:c r="G174" s="88" t="str">
        <x:v>—</x:v>
      </x:c>
      <x:c r="H174" s="88" t="str">
        <x:v>CORRECTION_MODEL_CANDIDATE；EVIDENCE；FORMAL_RELEASE_GATE</x:v>
      </x:c>
      <x:c r="I174" s="88" t="str">
        <x:v>misoperation；third_party_damage</x:v>
      </x:c>
      <x:c r="J174" s="88" t="str">
        <x:v>engineering_indicators显式观测</x:v>
      </x:c>
      <x:c r="K174" s="89" t="str">
        <x:v>未判定</x:v>
      </x:c>
      <x:c r="L174" s="89"/>
      <x:c r="M174" s="89"/>
      <x:c r="N174" s="89"/>
      <x:c r="O174" s="90"/>
      <x:c r="P174" s="89"/>
      <x:c r="Q174" s="89"/>
      <x:c r="R174" s="89" t="str">
        <x:v>未审核</x:v>
      </x:c>
      <x:c r="S174" s="88" t="str">
        <x:f>IF(K174="未判定","未判定",IF(K174="不适用",IF(L174="","缺少不适用依据","已关闭"),IF(M174="","适用但缺值",IF(P174="","缺少来源",IF(Q174="","缺少填报人",IF(R174&lt;&gt;"已审核","待审核","完整"))))))</x:f>
        <x:v>未判定</x:v>
      </x:c>
      <x:c r="T174" s="88" t="str">
        <x:v>SY/T 6891.2-2020 表1 运行维护/应急管理、表4 误操作/后果；GB/T 27921-2023 6.1-6.6</x:v>
      </x:c>
    </x:row>
    <x:row r="175" ht="60" customHeight="1">
      <x:c r="A175" s="88" t="n">
        <x:v>171</x:v>
      </x:c>
      <x:c r="B175" s="88" t="str">
        <x:v>运行管理、人因与应急</x:v>
      </x:c>
      <x:c r="C175" s="88" t="str">
        <x:v>management_emergency.operator_training_completion_fraction</x:v>
      </x:c>
      <x:c r="D175" s="88" t="str">
        <x:v>操作人员培训完成率</x:v>
      </x:c>
      <x:c r="E175" s="88" t="str">
        <x:v>pipeline_or_segment</x:v>
      </x:c>
      <x:c r="F175" s="88" t="str">
        <x:v>number</x:v>
      </x:c>
      <x:c r="G175" s="88" t="str">
        <x:v>—</x:v>
      </x:c>
      <x:c r="H175" s="88" t="str">
        <x:v>CORRECTION_MODEL_CANDIDATE；EVIDENCE；FORMAL_RELEASE_GATE</x:v>
      </x:c>
      <x:c r="I175" s="88" t="str">
        <x:v>misoperation；third_party_damage</x:v>
      </x:c>
      <x:c r="J175" s="88" t="str">
        <x:v>engineering_indicators显式观测</x:v>
      </x:c>
      <x:c r="K175" s="89" t="str">
        <x:v>未判定</x:v>
      </x:c>
      <x:c r="L175" s="89"/>
      <x:c r="M175" s="89"/>
      <x:c r="N175" s="89"/>
      <x:c r="O175" s="90"/>
      <x:c r="P175" s="89"/>
      <x:c r="Q175" s="89"/>
      <x:c r="R175" s="89" t="str">
        <x:v>未审核</x:v>
      </x:c>
      <x:c r="S175" s="88" t="str">
        <x:f>IF(K175="未判定","未判定",IF(K175="不适用",IF(L175="","缺少不适用依据","已关闭"),IF(M175="","适用但缺值",IF(P175="","缺少来源",IF(Q175="","缺少填报人",IF(R175&lt;&gt;"已审核","待审核","完整"))))))</x:f>
        <x:v>未判定</x:v>
      </x:c>
      <x:c r="T175" s="88" t="str">
        <x:v>SY/T 6891.2-2020 表1 运行维护/应急管理、表4 误操作/后果；GB/T 27921-2023 6.1-6.6</x:v>
      </x:c>
    </x:row>
    <x:row r="176" ht="60" customHeight="1">
      <x:c r="A176" s="88" t="n">
        <x:v>172</x:v>
      </x:c>
      <x:c r="B176" s="88" t="str">
        <x:v>运行管理、人因与应急</x:v>
      </x:c>
      <x:c r="C176" s="88" t="str">
        <x:v>management_emergency.operator_competency_pass_fraction</x:v>
      </x:c>
      <x:c r="D176" s="88" t="str">
        <x:v>操作人员能力考核通过率</x:v>
      </x:c>
      <x:c r="E176" s="88" t="str">
        <x:v>pipeline_or_segment</x:v>
      </x:c>
      <x:c r="F176" s="88" t="str">
        <x:v>number</x:v>
      </x:c>
      <x:c r="G176" s="88" t="str">
        <x:v>—</x:v>
      </x:c>
      <x:c r="H176" s="88" t="str">
        <x:v>CORRECTION_MODEL_CANDIDATE；EVIDENCE；FORMAL_RELEASE_GATE</x:v>
      </x:c>
      <x:c r="I176" s="88" t="str">
        <x:v>misoperation；third_party_damage</x:v>
      </x:c>
      <x:c r="J176" s="88" t="str">
        <x:v>engineering_indicators显式观测</x:v>
      </x:c>
      <x:c r="K176" s="89" t="str">
        <x:v>未判定</x:v>
      </x:c>
      <x:c r="L176" s="89"/>
      <x:c r="M176" s="89"/>
      <x:c r="N176" s="89"/>
      <x:c r="O176" s="90"/>
      <x:c r="P176" s="89"/>
      <x:c r="Q176" s="89"/>
      <x:c r="R176" s="89" t="str">
        <x:v>未审核</x:v>
      </x:c>
      <x:c r="S176" s="88" t="str">
        <x:f>IF(K176="未判定","未判定",IF(K176="不适用",IF(L176="","缺少不适用依据","已关闭"),IF(M176="","适用但缺值",IF(P176="","缺少来源",IF(Q176="","缺少填报人",IF(R176&lt;&gt;"已审核","待审核","完整"))))))</x:f>
        <x:v>未判定</x:v>
      </x:c>
      <x:c r="T176" s="88" t="str">
        <x:v>SY/T 6891.2-2020 表1 运行维护/应急管理、表4 误操作/后果；GB/T 27921-2023 6.1-6.6</x:v>
      </x:c>
    </x:row>
    <x:row r="177" ht="60" customHeight="1">
      <x:c r="A177" s="88" t="n">
        <x:v>173</x:v>
      </x:c>
      <x:c r="B177" s="88" t="str">
        <x:v>运行管理、人因与应急</x:v>
      </x:c>
      <x:c r="C177" s="88" t="str">
        <x:v>management_emergency.shift_handover_compliance_fraction</x:v>
      </x:c>
      <x:c r="D177" s="88" t="str">
        <x:v>交接班符合率</x:v>
      </x:c>
      <x:c r="E177" s="88" t="str">
        <x:v>pipeline_or_segment</x:v>
      </x:c>
      <x:c r="F177" s="88" t="str">
        <x:v>number</x:v>
      </x:c>
      <x:c r="G177" s="88" t="str">
        <x:v>—</x:v>
      </x:c>
      <x:c r="H177" s="88" t="str">
        <x:v>CORRECTION_MODEL_CANDIDATE；EVIDENCE；FORMAL_RELEASE_GATE</x:v>
      </x:c>
      <x:c r="I177" s="88" t="str">
        <x:v>misoperation；third_party_damage</x:v>
      </x:c>
      <x:c r="J177" s="88" t="str">
        <x:v>engineering_indicators显式观测</x:v>
      </x:c>
      <x:c r="K177" s="89" t="str">
        <x:v>未判定</x:v>
      </x:c>
      <x:c r="L177" s="89"/>
      <x:c r="M177" s="89"/>
      <x:c r="N177" s="89"/>
      <x:c r="O177" s="90"/>
      <x:c r="P177" s="89"/>
      <x:c r="Q177" s="89"/>
      <x:c r="R177" s="89" t="str">
        <x:v>未审核</x:v>
      </x:c>
      <x:c r="S177" s="88" t="str">
        <x:f>IF(K177="未判定","未判定",IF(K177="不适用",IF(L177="","缺少不适用依据","已关闭"),IF(M177="","适用但缺值",IF(P177="","缺少来源",IF(Q177="","缺少填报人",IF(R177&lt;&gt;"已审核","待审核","完整"))))))</x:f>
        <x:v>未判定</x:v>
      </x:c>
      <x:c r="T177" s="88" t="str">
        <x:v>SY/T 6891.2-2020 表1 运行维护/应急管理、表4 误操作/后果；GB/T 27921-2023 6.1-6.6</x:v>
      </x:c>
    </x:row>
    <x:row r="178" ht="60" customHeight="1">
      <x:c r="A178" s="88" t="n">
        <x:v>174</x:v>
      </x:c>
      <x:c r="B178" s="88" t="str">
        <x:v>运行管理、人因与应急</x:v>
      </x:c>
      <x:c r="C178" s="88" t="str">
        <x:v>management_emergency.management_of_change_compliance_fraction</x:v>
      </x:c>
      <x:c r="D178" s="88" t="str">
        <x:v>变更管理符合率</x:v>
      </x:c>
      <x:c r="E178" s="88" t="str">
        <x:v>pipeline_or_segment</x:v>
      </x:c>
      <x:c r="F178" s="88" t="str">
        <x:v>number</x:v>
      </x:c>
      <x:c r="G178" s="88" t="str">
        <x:v>—</x:v>
      </x:c>
      <x:c r="H178" s="88" t="str">
        <x:v>CORRECTION_MODEL_CANDIDATE；EVIDENCE；FORMAL_RELEASE_GATE</x:v>
      </x:c>
      <x:c r="I178" s="88" t="str">
        <x:v>misoperation；third_party_damage</x:v>
      </x:c>
      <x:c r="J178" s="88" t="str">
        <x:v>engineering_indicators显式观测</x:v>
      </x:c>
      <x:c r="K178" s="89" t="str">
        <x:v>未判定</x:v>
      </x:c>
      <x:c r="L178" s="89"/>
      <x:c r="M178" s="89"/>
      <x:c r="N178" s="89"/>
      <x:c r="O178" s="90"/>
      <x:c r="P178" s="89"/>
      <x:c r="Q178" s="89"/>
      <x:c r="R178" s="89" t="str">
        <x:v>未审核</x:v>
      </x:c>
      <x:c r="S178" s="88" t="str">
        <x:f>IF(K178="未判定","未判定",IF(K178="不适用",IF(L178="","缺少不适用依据","已关闭"),IF(M178="","适用但缺值",IF(P178="","缺少来源",IF(Q178="","缺少填报人",IF(R178&lt;&gt;"已审核","待审核","完整"))))))</x:f>
        <x:v>未判定</x:v>
      </x:c>
      <x:c r="T178" s="88" t="str">
        <x:v>SY/T 6891.2-2020 表1 运行维护/应急管理、表4 误操作/后果；GB/T 27921-2023 6.1-6.6</x:v>
      </x:c>
    </x:row>
    <x:row r="179" ht="60" customHeight="1">
      <x:c r="A179" s="88" t="n">
        <x:v>175</x:v>
      </x:c>
      <x:c r="B179" s="88" t="str">
        <x:v>运行管理、人因与应急</x:v>
      </x:c>
      <x:c r="C179" s="88" t="str">
        <x:v>management_emergency.permit_to_work_compliance_fraction</x:v>
      </x:c>
      <x:c r="D179" s="88" t="str">
        <x:v>作业许可符合率</x:v>
      </x:c>
      <x:c r="E179" s="88" t="str">
        <x:v>pipeline_or_segment</x:v>
      </x:c>
      <x:c r="F179" s="88" t="str">
        <x:v>number</x:v>
      </x:c>
      <x:c r="G179" s="88" t="str">
        <x:v>—</x:v>
      </x:c>
      <x:c r="H179" s="88" t="str">
        <x:v>CORRECTION_MODEL_CANDIDATE；EVIDENCE；FORMAL_RELEASE_GATE</x:v>
      </x:c>
      <x:c r="I179" s="88" t="str">
        <x:v>misoperation；third_party_damage</x:v>
      </x:c>
      <x:c r="J179" s="88" t="str">
        <x:v>engineering_indicators显式观测</x:v>
      </x:c>
      <x:c r="K179" s="89" t="str">
        <x:v>未判定</x:v>
      </x:c>
      <x:c r="L179" s="89"/>
      <x:c r="M179" s="89"/>
      <x:c r="N179" s="89"/>
      <x:c r="O179" s="90"/>
      <x:c r="P179" s="89"/>
      <x:c r="Q179" s="89"/>
      <x:c r="R179" s="89" t="str">
        <x:v>未审核</x:v>
      </x:c>
      <x:c r="S179" s="88" t="str">
        <x:f>IF(K179="未判定","未判定",IF(K179="不适用",IF(L179="","缺少不适用依据","已关闭"),IF(M179="","适用但缺值",IF(P179="","缺少来源",IF(Q179="","缺少填报人",IF(R179&lt;&gt;"已审核","待审核","完整"))))))</x:f>
        <x:v>未判定</x:v>
      </x:c>
      <x:c r="T179" s="88" t="str">
        <x:v>SY/T 6891.2-2020 表1 运行维护/应急管理、表4 误操作/后果；GB/T 27921-2023 6.1-6.6</x:v>
      </x:c>
    </x:row>
    <x:row r="180" ht="60" customHeight="1">
      <x:c r="A180" s="88" t="n">
        <x:v>176</x:v>
      </x:c>
      <x:c r="B180" s="88" t="str">
        <x:v>运行管理、人因与应急</x:v>
      </x:c>
      <x:c r="C180" s="88" t="str">
        <x:v>management_emergency.maintenance_completion_fraction</x:v>
      </x:c>
      <x:c r="D180" s="88" t="str">
        <x:v>维护计划完成率</x:v>
      </x:c>
      <x:c r="E180" s="88" t="str">
        <x:v>pipeline_or_segment</x:v>
      </x:c>
      <x:c r="F180" s="88" t="str">
        <x:v>number</x:v>
      </x:c>
      <x:c r="G180" s="88" t="str">
        <x:v>—</x:v>
      </x:c>
      <x:c r="H180" s="88" t="str">
        <x:v>CORRECTION_MODEL_CANDIDATE；EVIDENCE；FORMAL_RELEASE_GATE</x:v>
      </x:c>
      <x:c r="I180" s="88" t="str">
        <x:v>misoperation；third_party_damage</x:v>
      </x:c>
      <x:c r="J180" s="88" t="str">
        <x:v>engineering_indicators显式观测</x:v>
      </x:c>
      <x:c r="K180" s="89" t="str">
        <x:v>未判定</x:v>
      </x:c>
      <x:c r="L180" s="89"/>
      <x:c r="M180" s="89"/>
      <x:c r="N180" s="89"/>
      <x:c r="O180" s="90"/>
      <x:c r="P180" s="89"/>
      <x:c r="Q180" s="89"/>
      <x:c r="R180" s="89" t="str">
        <x:v>未审核</x:v>
      </x:c>
      <x:c r="S180" s="88" t="str">
        <x:f>IF(K180="未判定","未判定",IF(K180="不适用",IF(L180="","缺少不适用依据","已关闭"),IF(M180="","适用但缺值",IF(P180="","缺少来源",IF(Q180="","缺少填报人",IF(R180&lt;&gt;"已审核","待审核","完整"))))))</x:f>
        <x:v>未判定</x:v>
      </x:c>
      <x:c r="T180" s="88" t="str">
        <x:v>SY/T 6891.2-2020 表1 运行维护/应急管理、表4 误操作/后果；GB/T 27921-2023 6.1-6.6</x:v>
      </x:c>
    </x:row>
    <x:row r="181" ht="60" customHeight="1">
      <x:c r="A181" s="88" t="n">
        <x:v>177</x:v>
      </x:c>
      <x:c r="B181" s="88" t="str">
        <x:v>运行管理、人因与应急</x:v>
      </x:c>
      <x:c r="C181" s="88" t="str">
        <x:v>management_emergency.alarm_response_time_s</x:v>
      </x:c>
      <x:c r="D181" s="88" t="str">
        <x:v>报警响应时间</x:v>
      </x:c>
      <x:c r="E181" s="88" t="str">
        <x:v>pipeline_or_segment</x:v>
      </x:c>
      <x:c r="F181" s="88" t="str">
        <x:v>number</x:v>
      </x:c>
      <x:c r="G181" s="88" t="str">
        <x:v>s</x:v>
      </x:c>
      <x:c r="H181" s="88" t="str">
        <x:v>CORRECTION_MODEL_CANDIDATE；EVIDENCE；FORMAL_RELEASE_GATE</x:v>
      </x:c>
      <x:c r="I181" s="88" t="str">
        <x:v>misoperation；third_party_damage</x:v>
      </x:c>
      <x:c r="J181" s="88" t="str">
        <x:v>engineering_indicators显式观测</x:v>
      </x:c>
      <x:c r="K181" s="89" t="str">
        <x:v>未判定</x:v>
      </x:c>
      <x:c r="L181" s="89"/>
      <x:c r="M181" s="89"/>
      <x:c r="N181" s="89"/>
      <x:c r="O181" s="90"/>
      <x:c r="P181" s="89"/>
      <x:c r="Q181" s="89"/>
      <x:c r="R181" s="89" t="str">
        <x:v>未审核</x:v>
      </x:c>
      <x:c r="S181" s="88" t="str">
        <x:f>IF(K181="未判定","未判定",IF(K181="不适用",IF(L181="","缺少不适用依据","已关闭"),IF(M181="","适用但缺值",IF(P181="","缺少来源",IF(Q181="","缺少填报人",IF(R181&lt;&gt;"已审核","待审核","完整"))))))</x:f>
        <x:v>未判定</x:v>
      </x:c>
      <x:c r="T181" s="88" t="str">
        <x:v>SY/T 6891.2-2020 表1 运行维护/应急管理、表4 误操作/后果；GB/T 27921-2023 6.1-6.6</x:v>
      </x:c>
    </x:row>
    <x:row r="182" ht="60" customHeight="1">
      <x:c r="A182" s="88" t="n">
        <x:v>178</x:v>
      </x:c>
      <x:c r="B182" s="88" t="str">
        <x:v>运行管理、人因与应急</x:v>
      </x:c>
      <x:c r="C182" s="88" t="str">
        <x:v>management_emergency.emergency_drills_per_year</x:v>
      </x:c>
      <x:c r="D182" s="88" t="str">
        <x:v>年应急演练次数</x:v>
      </x:c>
      <x:c r="E182" s="88" t="str">
        <x:v>pipeline_or_segment</x:v>
      </x:c>
      <x:c r="F182" s="88" t="str">
        <x:v>number</x:v>
      </x:c>
      <x:c r="G182" s="88" t="str">
        <x:v>1/year</x:v>
      </x:c>
      <x:c r="H182" s="88" t="str">
        <x:v>CORRECTION_MODEL_CANDIDATE；EVIDENCE；FORMAL_RELEASE_GATE</x:v>
      </x:c>
      <x:c r="I182" s="88" t="str">
        <x:v>misoperation；third_party_damage</x:v>
      </x:c>
      <x:c r="J182" s="88" t="str">
        <x:v>engineering_indicators显式观测</x:v>
      </x:c>
      <x:c r="K182" s="89" t="str">
        <x:v>未判定</x:v>
      </x:c>
      <x:c r="L182" s="89"/>
      <x:c r="M182" s="89"/>
      <x:c r="N182" s="89"/>
      <x:c r="O182" s="90"/>
      <x:c r="P182" s="89"/>
      <x:c r="Q182" s="89"/>
      <x:c r="R182" s="89" t="str">
        <x:v>未审核</x:v>
      </x:c>
      <x:c r="S182" s="88" t="str">
        <x:f>IF(K182="未判定","未判定",IF(K182="不适用",IF(L182="","缺少不适用依据","已关闭"),IF(M182="","适用但缺值",IF(P182="","缺少来源",IF(Q182="","缺少填报人",IF(R182&lt;&gt;"已审核","待审核","完整"))))))</x:f>
        <x:v>未判定</x:v>
      </x:c>
      <x:c r="T182" s="88" t="str">
        <x:v>SY/T 6891.2-2020 表1 运行维护/应急管理、表4 误操作/后果；GB/T 27921-2023 6.1-6.6</x:v>
      </x:c>
    </x:row>
    <x:row r="183" ht="60" customHeight="1">
      <x:c r="A183" s="88" t="n">
        <x:v>179</x:v>
      </x:c>
      <x:c r="B183" s="88" t="str">
        <x:v>运行管理、人因与应急</x:v>
      </x:c>
      <x:c r="C183" s="88" t="str">
        <x:v>management_emergency.emergency_team_response_time_s</x:v>
      </x:c>
      <x:c r="D183" s="88" t="str">
        <x:v>应急队伍响应时间</x:v>
      </x:c>
      <x:c r="E183" s="88" t="str">
        <x:v>pipeline_or_segment</x:v>
      </x:c>
      <x:c r="F183" s="88" t="str">
        <x:v>number</x:v>
      </x:c>
      <x:c r="G183" s="88" t="str">
        <x:v>s</x:v>
      </x:c>
      <x:c r="H183" s="88" t="str">
        <x:v>CORRECTION_MODEL_CANDIDATE；EVIDENCE；FORMAL_RELEASE_GATE</x:v>
      </x:c>
      <x:c r="I183" s="88" t="str">
        <x:v>misoperation；third_party_damage</x:v>
      </x:c>
      <x:c r="J183" s="88" t="str">
        <x:v>engineering_indicators显式观测</x:v>
      </x:c>
      <x:c r="K183" s="89" t="str">
        <x:v>未判定</x:v>
      </x:c>
      <x:c r="L183" s="89"/>
      <x:c r="M183" s="89"/>
      <x:c r="N183" s="89"/>
      <x:c r="O183" s="90"/>
      <x:c r="P183" s="89"/>
      <x:c r="Q183" s="89"/>
      <x:c r="R183" s="89" t="str">
        <x:v>未审核</x:v>
      </x:c>
      <x:c r="S183" s="88" t="str">
        <x:f>IF(K183="未判定","未判定",IF(K183="不适用",IF(L183="","缺少不适用依据","已关闭"),IF(M183="","适用但缺值",IF(P183="","缺少来源",IF(Q183="","缺少填报人",IF(R183&lt;&gt;"已审核","待审核","完整"))))))</x:f>
        <x:v>未判定</x:v>
      </x:c>
      <x:c r="T183" s="88" t="str">
        <x:v>SY/T 6891.2-2020 表1 运行维护/应急管理、表4 误操作/后果；GB/T 27921-2023 6.1-6.6</x:v>
      </x:c>
    </x:row>
    <x:row r="184" ht="60" customHeight="1">
      <x:c r="A184" s="88" t="n">
        <x:v>180</x:v>
      </x:c>
      <x:c r="B184" s="88" t="str">
        <x:v>运行管理、人因与应急</x:v>
      </x:c>
      <x:c r="C184" s="88" t="str">
        <x:v>management_emergency.misoperation_event_count</x:v>
      </x:c>
      <x:c r="D184" s="88" t="str">
        <x:v>历史误操作事件数</x:v>
      </x:c>
      <x:c r="E184" s="88" t="str">
        <x:v>pipeline_or_segment</x:v>
      </x:c>
      <x:c r="F184" s="88" t="str">
        <x:v>integer</x:v>
      </x:c>
      <x:c r="G184" s="88" t="str">
        <x:v>count</x:v>
      </x:c>
      <x:c r="H184" s="88" t="str">
        <x:v>CORRECTION_MODEL_CANDIDATE；EVIDENCE；FORMAL_RELEASE_GATE</x:v>
      </x:c>
      <x:c r="I184" s="88" t="str">
        <x:v>misoperation；third_party_damage</x:v>
      </x:c>
      <x:c r="J184" s="88" t="str">
        <x:v>engineering_indicators显式观测</x:v>
      </x:c>
      <x:c r="K184" s="89" t="str">
        <x:v>未判定</x:v>
      </x:c>
      <x:c r="L184" s="89"/>
      <x:c r="M184" s="89"/>
      <x:c r="N184" s="89"/>
      <x:c r="O184" s="90"/>
      <x:c r="P184" s="89"/>
      <x:c r="Q184" s="89"/>
      <x:c r="R184" s="89" t="str">
        <x:v>未审核</x:v>
      </x:c>
      <x:c r="S184" s="88" t="str">
        <x:f>IF(K184="未判定","未判定",IF(K184="不适用",IF(L184="","缺少不适用依据","已关闭"),IF(M184="","适用但缺值",IF(P184="","缺少来源",IF(Q184="","缺少填报人",IF(R184&lt;&gt;"已审核","待审核","完整"))))))</x:f>
        <x:v>未判定</x:v>
      </x:c>
      <x:c r="T184" s="88" t="str">
        <x:v>SY/T 6891.2-2020 表1 运行维护/应急管理、表4 误操作/后果；GB/T 27921-2023 6.1-6.6</x:v>
      </x:c>
    </x:row>
    <x:row r="185" ht="60" customHeight="1">
      <x:c r="A185" s="88" t="n">
        <x:v>181</x:v>
      </x:c>
      <x:c r="B185" s="88" t="str">
        <x:v>运行管理、人因与应急</x:v>
      </x:c>
      <x:c r="C185" s="88" t="str">
        <x:v>management_emergency.audit_nonconformity_open_count</x:v>
      </x:c>
      <x:c r="D185" s="88" t="str">
        <x:v>未关闭审核不符合项</x:v>
      </x:c>
      <x:c r="E185" s="88" t="str">
        <x:v>pipeline_or_segment</x:v>
      </x:c>
      <x:c r="F185" s="88" t="str">
        <x:v>integer</x:v>
      </x:c>
      <x:c r="G185" s="88" t="str">
        <x:v>count</x:v>
      </x:c>
      <x:c r="H185" s="88" t="str">
        <x:v>CORRECTION_MODEL_CANDIDATE；EVIDENCE；FORMAL_RELEASE_GATE</x:v>
      </x:c>
      <x:c r="I185" s="88" t="str">
        <x:v>misoperation；third_party_damage</x:v>
      </x:c>
      <x:c r="J185" s="88" t="str">
        <x:v>engineering_indicators显式观测</x:v>
      </x:c>
      <x:c r="K185" s="89" t="str">
        <x:v>未判定</x:v>
      </x:c>
      <x:c r="L185" s="89"/>
      <x:c r="M185" s="89"/>
      <x:c r="N185" s="89"/>
      <x:c r="O185" s="90"/>
      <x:c r="P185" s="89"/>
      <x:c r="Q185" s="89"/>
      <x:c r="R185" s="89" t="str">
        <x:v>未审核</x:v>
      </x:c>
      <x:c r="S185" s="88" t="str">
        <x:f>IF(K185="未判定","未判定",IF(K185="不适用",IF(L185="","缺少不适用依据","已关闭"),IF(M185="","适用但缺值",IF(P185="","缺少来源",IF(Q185="","缺少填报人",IF(R185&lt;&gt;"已审核","待审核","完整"))))))</x:f>
        <x:v>未判定</x:v>
      </x:c>
      <x:c r="T185" s="88" t="str">
        <x:v>SY/T 6891.2-2020 表1 运行维护/应急管理、表4 误操作/后果；GB/T 27921-2023 6.1-6.6</x:v>
      </x:c>
    </x:row>
    <x:row r="186" ht="60" customHeight="1">
      <x:c r="A186" s="88" t="n">
        <x:v>182</x:v>
      </x:c>
      <x:c r="B186" s="88" t="str">
        <x:v>物性与人员后果模型参数</x:v>
      </x:c>
      <x:c r="C186" s="88" t="str">
        <x:v>consequence_parameters.roughness_class</x:v>
      </x:c>
      <x:c r="D186" s="88" t="str">
        <x:v>扩散地面粗糙度类别</x:v>
      </x:c>
      <x:c r="E186" s="88" t="str">
        <x:v>model_parameter</x:v>
      </x:c>
      <x:c r="F186" s="88" t="str">
        <x:v>string</x:v>
      </x:c>
      <x:c r="G186" s="88" t="str">
        <x:v>—</x:v>
      </x:c>
      <x:c r="H186" s="88" t="str">
        <x:v>DIRECT_MODEL_INPUT；FORMAL_RELEASE_GATE</x:v>
      </x:c>
      <x:c r="I186" s="88" t="str">
        <x:v>—</x:v>
      </x:c>
      <x:c r="J186" s="88" t="str">
        <x:v>engineering_indicators显式观测</x:v>
      </x:c>
      <x:c r="K186" s="89" t="str">
        <x:v>未判定</x:v>
      </x:c>
      <x:c r="L186" s="89"/>
      <x:c r="M186" s="89"/>
      <x:c r="N186" s="89"/>
      <x:c r="O186" s="90"/>
      <x:c r="P186" s="89"/>
      <x:c r="Q186" s="89"/>
      <x:c r="R186" s="89" t="str">
        <x:v>未审核</x:v>
      </x:c>
      <x:c r="S186" s="88" t="str">
        <x:f>IF(K186="未判定","未判定",IF(K186="不适用",IF(L186="","缺少不适用依据","已关闭"),IF(M186="","适用但缺值",IF(P186="","缺少来源",IF(Q186="","缺少填报人",IF(R186&lt;&gt;"已审核","待审核","完整"))))))</x:f>
        <x:v>未判定</x:v>
      </x:c>
      <x:c r="T186" s="88" t="str">
        <x:v>AQ/T 3046-2013 8-13、附录E、G、H、I</x:v>
      </x:c>
    </x:row>
    <x:row r="187" ht="60" customHeight="1">
      <x:c r="A187" s="88" t="n">
        <x:v>183</x:v>
      </x:c>
      <x:c r="B187" s="88" t="str">
        <x:v>物性与人员后果模型参数</x:v>
      </x:c>
      <x:c r="C187" s="88" t="str">
        <x:v>consequence_parameters.indoor_thermal_protection_factor</x:v>
      </x:c>
      <x:c r="D187" s="88" t="str">
        <x:v>室内热辐射防护系数</x:v>
      </x:c>
      <x:c r="E187" s="88" t="str">
        <x:v>model_parameter</x:v>
      </x:c>
      <x:c r="F187" s="88" t="str">
        <x:v>number</x:v>
      </x:c>
      <x:c r="G187" s="88" t="str">
        <x:v>—</x:v>
      </x:c>
      <x:c r="H187" s="88" t="str">
        <x:v>DIRECT_MODEL_INPUT；FORMAL_RELEASE_GATE</x:v>
      </x:c>
      <x:c r="I187" s="88" t="str">
        <x:v>—</x:v>
      </x:c>
      <x:c r="J187" s="88" t="str">
        <x:v>engineering_indicators显式观测</x:v>
      </x:c>
      <x:c r="K187" s="89" t="str">
        <x:v>未判定</x:v>
      </x:c>
      <x:c r="L187" s="89"/>
      <x:c r="M187" s="89"/>
      <x:c r="N187" s="89"/>
      <x:c r="O187" s="90"/>
      <x:c r="P187" s="89"/>
      <x:c r="Q187" s="89"/>
      <x:c r="R187" s="89" t="str">
        <x:v>未审核</x:v>
      </x:c>
      <x:c r="S187" s="88" t="str">
        <x:f>IF(K187="未判定","未判定",IF(K187="不适用",IF(L187="","缺少不适用依据","已关闭"),IF(M187="","适用但缺值",IF(P187="","缺少来源",IF(Q187="","缺少填报人",IF(R187&lt;&gt;"已审核","待审核","完整"))))))</x:f>
        <x:v>未判定</x:v>
      </x:c>
      <x:c r="T187" s="88" t="str">
        <x:v>AQ/T 3046-2013 8-13、附录E、G、H、I</x:v>
      </x:c>
    </x:row>
    <x:row r="188" ht="60" customHeight="1">
      <x:c r="A188" s="88" t="n">
        <x:v>184</x:v>
      </x:c>
      <x:c r="B188" s="88" t="str">
        <x:v>物性与人员后果模型参数</x:v>
      </x:c>
      <x:c r="C188" s="88" t="str">
        <x:v>consequence_parameters.indoor_overpressure_fatality_factor</x:v>
      </x:c>
      <x:c r="D188" s="88" t="str">
        <x:v>室内超压死亡修正</x:v>
      </x:c>
      <x:c r="E188" s="88" t="str">
        <x:v>model_parameter</x:v>
      </x:c>
      <x:c r="F188" s="88" t="str">
        <x:v>number</x:v>
      </x:c>
      <x:c r="G188" s="88" t="str">
        <x:v>—</x:v>
      </x:c>
      <x:c r="H188" s="88" t="str">
        <x:v>DIRECT_MODEL_INPUT；FORMAL_RELEASE_GATE</x:v>
      </x:c>
      <x:c r="I188" s="88" t="str">
        <x:v>—</x:v>
      </x:c>
      <x:c r="J188" s="88" t="str">
        <x:v>engineering_indicators显式观测</x:v>
      </x:c>
      <x:c r="K188" s="89" t="str">
        <x:v>未判定</x:v>
      </x:c>
      <x:c r="L188" s="89"/>
      <x:c r="M188" s="89"/>
      <x:c r="N188" s="89"/>
      <x:c r="O188" s="90"/>
      <x:c r="P188" s="89"/>
      <x:c r="Q188" s="89"/>
      <x:c r="R188" s="89" t="str">
        <x:v>未审核</x:v>
      </x:c>
      <x:c r="S188" s="88" t="str">
        <x:f>IF(K188="未判定","未判定",IF(K188="不适用",IF(L188="","缺少不适用依据","已关闭"),IF(M188="","适用但缺值",IF(P188="","缺少来源",IF(Q188="","缺少填报人",IF(R188&lt;&gt;"已审核","待审核","完整"))))))</x:f>
        <x:v>未判定</x:v>
      </x:c>
      <x:c r="T188" s="88" t="str">
        <x:v>AQ/T 3046-2013 8-13、附录E、G、H、I</x:v>
      </x:c>
    </x:row>
  </x:sheetData>
  <x:mergeCells>
    <x:mergeCell ref="A1:T1"/>
    <x:mergeCell ref="A2:T2"/>
  </x:mergeCells>
  <x:conditionalFormatting sqref="S5:S188">
    <x:cfRule type="containsText" dxfId="8" priority="1" operator="containsText" text="完整"/>
    <x:cfRule type="containsText" dxfId="9" priority="2" operator="containsText" text="缺少"/>
    <x:cfRule type="containsText" dxfId="10" priority="3" operator="containsText" text="待审核"/>
    <x:cfRule type="containsText" dxfId="11" priority="4" operator="containsText" text="未判定"/>
  </x:conditionalFormatting>
  <x:dataValidations count="3">
    <x:dataValidation type="list" sqref="K5:K188">
      <x:formula1>"未判定,适用,不适用"</x:formula1>
    </x:dataValidation>
    <x:dataValidation type="list" sqref="N5:N188">
      <x:formula1>"A,B,C,D,UNKNOWN"</x:formula1>
    </x:dataValidation>
    <x:dataValidation type="list" sqref="R5:R188">
      <x:formula1>"未审核,审核中,已审核,退回修改"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72752041e14d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2" hidden="0" customWidth="1"/>
    <x:col min="4" max="4" width="42" hidden="0" customWidth="1"/>
    <x:col min="5" max="5" width="18" hidden="0" customWidth="1"/>
    <x:col min="6" max="6" width="34" hidden="0" customWidth="1"/>
  </x:cols>
  <x:sheetData>
    <x:row r="1" ht="30" customHeight="1">
      <x:c r="A1" s="81" t="str">
        <x:v>代码值、状态与填写口径</x:v>
      </x:c>
      <x:c r="B1" s="81" t="str">
        <x:v>代码值、状态与填写口径</x:v>
      </x:c>
      <x:c r="C1" s="81" t="str">
        <x:v>代码值、状态与填写口径</x:v>
      </x:c>
      <x:c r="D1" s="81" t="str">
        <x:v>代码值、状态与填写口径</x:v>
      </x:c>
      <x:c r="E1" s="81" t="str">
        <x:v>代码值、状态与填写口径</x:v>
      </x:c>
      <x:c r="F1" s="81" t="str">
        <x:v>代码值、状态与填写口径</x:v>
      </x:c>
    </x:row>
    <x:row r="2" ht="32" customHeight="1">
      <x:c r="A2" s="82" t="str">
        <x:v>本页用于解释其他工作表中的下拉选项和质量等级。</x:v>
      </x:c>
      <x:c r="B2" s="82" t="str">
        <x:v>本页用于解释其他工作表中的下拉选项和质量等级。</x:v>
      </x:c>
      <x:c r="C2" s="82" t="str">
        <x:v>本页用于解释其他工作表中的下拉选项和质量等级。</x:v>
      </x:c>
      <x:c r="D2" s="82" t="str">
        <x:v>本页用于解释其他工作表中的下拉选项和质量等级。</x:v>
      </x:c>
      <x:c r="E2" s="82" t="str">
        <x:v>本页用于解释其他工作表中的下拉选项和质量等级。</x:v>
      </x:c>
      <x:c r="F2" s="82" t="str">
        <x:v>本页用于解释其他工作表中的下拉选项和质量等级。</x:v>
      </x:c>
    </x:row>
    <x:row r="3">
      <x:c r="A3" s="83"/>
      <x:c r="B3" s="83"/>
      <x:c r="C3" s="83"/>
      <x:c r="D3" s="83"/>
      <x:c r="E3" s="83"/>
      <x:c r="F3" s="83"/>
    </x:row>
    <x:row r="4" ht="32" customHeight="1">
      <x:c r="A4" s="84" t="str">
        <x:v>类别</x:v>
      </x:c>
      <x:c r="B4" s="84" t="str">
        <x:v>代码值</x:v>
      </x:c>
      <x:c r="C4" s="84" t="str">
        <x:v>中文含义</x:v>
      </x:c>
      <x:c r="D4" s="84" t="str">
        <x:v>最低要求/使用场景</x:v>
      </x:c>
      <x:c r="E4" s="84" t="str">
        <x:v>是否允许正式使用</x:v>
      </x:c>
      <x:c r="F4" s="84" t="str">
        <x:v>备注</x:v>
      </x:c>
    </x:row>
    <x:row r="5" ht="34" customHeight="1">
      <x:c r="A5" s="85" t="str">
        <x:v>数据质量</x:v>
      </x:c>
      <x:c r="B5" s="85" t="str">
        <x:v>A</x:v>
      </x:c>
      <x:c r="C5" s="85" t="str">
        <x:v>经过计量、检测或权威数据库确认</x:v>
      </x:c>
      <x:c r="D5" s="85" t="str">
        <x:v>有原始记录、校准信息和明确日期</x:v>
      </x:c>
      <x:c r="E5" s="85" t="str">
        <x:v>是</x:v>
      </x:c>
      <x:c r="F5" s="85" t="str">
        <x:v>优先用于关键模型输入</x:v>
      </x:c>
    </x:row>
    <x:row r="6" ht="34" customHeight="1">
      <x:c r="A6" s="88" t="str">
        <x:v>数据质量</x:v>
      </x:c>
      <x:c r="B6" s="88" t="str">
        <x:v>B</x:v>
      </x:c>
      <x:c r="C6" s="88" t="str">
        <x:v>经审查的设计、竣工或完整性资料</x:v>
      </x:c>
      <x:c r="D6" s="88" t="str">
        <x:v>来源清晰且处于有效期</x:v>
      </x:c>
      <x:c r="E6" s="88" t="str">
        <x:v>是</x:v>
      </x:c>
      <x:c r="F6" s="88" t="str">
        <x:v>需确认与当前工况一致</x:v>
      </x:c>
    </x:row>
    <x:row r="7" ht="34" customHeight="1">
      <x:c r="A7" s="88" t="str">
        <x:v>数据质量</x:v>
      </x:c>
      <x:c r="B7" s="88" t="str">
        <x:v>C</x:v>
      </x:c>
      <x:c r="C7" s="88" t="str">
        <x:v>工程估算或间接推断</x:v>
      </x:c>
      <x:c r="D7" s="88" t="str">
        <x:v>说明估算方法和不确定性</x:v>
      </x:c>
      <x:c r="E7" s="88" t="str">
        <x:v>受限</x:v>
      </x:c>
      <x:c r="F7" s="88" t="str">
        <x:v>关键参数宜开展敏感性分析</x:v>
      </x:c>
    </x:row>
    <x:row r="8" ht="34" customHeight="1">
      <x:c r="A8" s="88" t="str">
        <x:v>数据质量</x:v>
      </x:c>
      <x:c r="B8" s="88" t="str">
        <x:v>D</x:v>
      </x:c>
      <x:c r="C8" s="88" t="str">
        <x:v>专家判断或低可信资料</x:v>
      </x:c>
      <x:c r="D8" s="88" t="str">
        <x:v>必须记录假设并保守处理</x:v>
      </x:c>
      <x:c r="E8" s="88" t="str">
        <x:v>一般否</x:v>
      </x:c>
      <x:c r="F8" s="88" t="str">
        <x:v>需要补采数据</x:v>
      </x:c>
    </x:row>
    <x:row r="9" ht="34" customHeight="1">
      <x:c r="A9" s="88" t="str">
        <x:v>数据质量</x:v>
      </x:c>
      <x:c r="B9" s="88" t="str">
        <x:v>UNKNOWN</x:v>
      </x:c>
      <x:c r="C9" s="88" t="str">
        <x:v>质量尚未判定</x:v>
      </x:c>
      <x:c r="D9" s="88" t="str">
        <x:v>仅用于数据准备阶段</x:v>
      </x:c>
      <x:c r="E9" s="88" t="str">
        <x:v>否</x:v>
      </x:c>
      <x:c r="F9" s="88" t="str">
        <x:v>不得进入正式报告</x:v>
      </x:c>
    </x:row>
    <x:row r="10" ht="34" customHeight="1">
      <x:c r="A10" s="88" t="str">
        <x:v>审核状态</x:v>
      </x:c>
      <x:c r="B10" s="88" t="str">
        <x:v>未审核</x:v>
      </x:c>
      <x:c r="C10" s="88" t="str">
        <x:v>尚未进行专业审核</x:v>
      </x:c>
      <x:c r="D10" s="88" t="str">
        <x:v>初始状态</x:v>
      </x:c>
      <x:c r="E10" s="88" t="str">
        <x:v>否</x:v>
      </x:c>
      <x:c r="F10" s="88" t="str"/>
    </x:row>
    <x:row r="11" ht="34" customHeight="1">
      <x:c r="A11" s="88" t="str">
        <x:v>审核状态</x:v>
      </x:c>
      <x:c r="B11" s="88" t="str">
        <x:v>审核中</x:v>
      </x:c>
      <x:c r="C11" s="88" t="str">
        <x:v>正在审查数据、单位和来源</x:v>
      </x:c>
      <x:c r="D11" s="88" t="str">
        <x:v>审查阶段</x:v>
      </x:c>
      <x:c r="E11" s="88" t="str">
        <x:v>否</x:v>
      </x:c>
      <x:c r="F11" s="88" t="str"/>
    </x:row>
    <x:row r="12" ht="34" customHeight="1">
      <x:c r="A12" s="88" t="str">
        <x:v>审核状态</x:v>
      </x:c>
      <x:c r="B12" s="88" t="str">
        <x:v>已审核</x:v>
      </x:c>
      <x:c r="C12" s="88" t="str">
        <x:v>已由授权人员确认</x:v>
      </x:c>
      <x:c r="D12" s="88" t="str">
        <x:v>应记录审核人和审批文件</x:v>
      </x:c>
      <x:c r="E12" s="88" t="str">
        <x:v>是</x:v>
      </x:c>
      <x:c r="F12" s="88" t="str">
        <x:v>不等同于模型已发布</x:v>
      </x:c>
    </x:row>
    <x:row r="13" ht="34" customHeight="1">
      <x:c r="A13" s="88" t="str">
        <x:v>审核状态</x:v>
      </x:c>
      <x:c r="B13" s="88" t="str">
        <x:v>退回修改</x:v>
      </x:c>
      <x:c r="C13" s="88" t="str">
        <x:v>数据或证据不满足要求</x:v>
      </x:c>
      <x:c r="D13" s="88" t="str">
        <x:v>重新填写</x:v>
      </x:c>
      <x:c r="E13" s="88" t="str">
        <x:v>否</x:v>
      </x:c>
      <x:c r="F13" s="88" t="str"/>
    </x:row>
    <x:row r="14" ht="34" customHeight="1">
      <x:c r="A14" s="88" t="str">
        <x:v>适用性</x:v>
      </x:c>
      <x:c r="B14" s="88" t="str">
        <x:v>未判定</x:v>
      </x:c>
      <x:c r="C14" s="88" t="str">
        <x:v>尚未判断条件指标是否适用</x:v>
      </x:c>
      <x:c r="D14" s="88" t="str">
        <x:v>数据准备阶段</x:v>
      </x:c>
      <x:c r="E14" s="88" t="str">
        <x:v>否</x:v>
      </x:c>
      <x:c r="F14" s="88" t="str">
        <x:v>必须完成判定</x:v>
      </x:c>
    </x:row>
    <x:row r="15" ht="34" customHeight="1">
      <x:c r="A15" s="88" t="str">
        <x:v>适用性</x:v>
      </x:c>
      <x:c r="B15" s="88" t="str">
        <x:v>适用</x:v>
      </x:c>
      <x:c r="C15" s="88" t="str">
        <x:v>该设施、机理或场景存在</x:v>
      </x:c>
      <x:c r="D15" s="88" t="str">
        <x:v>填写真实值和证据</x:v>
      </x:c>
      <x:c r="E15" s="88" t="str">
        <x:v>取决于数据</x:v>
      </x:c>
      <x:c r="F15" s="88" t="str"/>
    </x:row>
    <x:row r="16" ht="34" customHeight="1">
      <x:c r="A16" s="88" t="str">
        <x:v>适用性</x:v>
      </x:c>
      <x:c r="B16" s="88" t="str">
        <x:v>不适用</x:v>
      </x:c>
      <x:c r="C16" s="88" t="str">
        <x:v>该条件在项目范围内不存在</x:v>
      </x:c>
      <x:c r="D16" s="88" t="str">
        <x:v>必须填写判定依据</x:v>
      </x:c>
      <x:c r="E16" s="88" t="str">
        <x:v>是</x:v>
      </x:c>
      <x:c r="F16" s="88" t="str">
        <x:v>不能仅为减少工作量而选择</x:v>
      </x:c>
    </x:row>
    <x:row r="17" ht="34" customHeight="1">
      <x:c r="A17" s="88" t="str">
        <x:v>数据分类</x:v>
      </x:c>
      <x:c r="B17" s="88" t="str">
        <x:v>PROJECT_DATA</x:v>
      </x:c>
      <x:c r="C17" s="88" t="str">
        <x:v>真实项目数据</x:v>
      </x:c>
      <x:c r="D17" s="88" t="str">
        <x:v>来源、日期、责任人和审核可追溯</x:v>
      </x:c>
      <x:c r="E17" s="88" t="str">
        <x:v>取决于完整性</x:v>
      </x:c>
      <x:c r="F17" s="88" t="str"/>
    </x:row>
    <x:row r="18" ht="34" customHeight="1">
      <x:c r="A18" s="88" t="str">
        <x:v>数据分类</x:v>
      </x:c>
      <x:c r="B18" s="88" t="str">
        <x:v>SYNTHETIC_TEST_ONLY</x:v>
      </x:c>
      <x:c r="C18" s="88" t="str">
        <x:v>合成测试数据</x:v>
      </x:c>
      <x:c r="D18" s="88" t="str">
        <x:v>单元测试、集成测试、演示</x:v>
      </x:c>
      <x:c r="E18" s="88" t="str">
        <x:v>否</x:v>
      </x:c>
      <x:c r="F18" s="88" t="str">
        <x:v>禁止安全决策和监管提交</x:v>
      </x:c>
    </x:row>
    <x:row r="19" ht="34" customHeight="1">
      <x:c r="A19" s="88" t="str">
        <x:v>修正模型状态</x:v>
      </x:c>
      <x:c r="B19" s="88" t="str">
        <x:v>APPROVED_PROJECT_FACTORS</x:v>
      </x:c>
      <x:c r="C19" s="88" t="str">
        <x:v>项目批准的K_j因子</x:v>
      </x:c>
      <x:c r="D19" s="88" t="str">
        <x:v>提供批准文件</x:v>
      </x:c>
      <x:c r="E19" s="88" t="str">
        <x:v>是</x:v>
      </x:c>
      <x:c r="F19" s="88" t="str">
        <x:v>适用于provided_factors</x:v>
      </x:c>
    </x:row>
    <x:row r="20" ht="34" customHeight="1">
      <x:c r="A20" s="88" t="str">
        <x:v>修正模型状态</x:v>
      </x:c>
      <x:c r="B20" s="88" t="str">
        <x:v>APPROVED_CALIBRATED</x:v>
      </x:c>
      <x:c r="C20" s="88" t="str">
        <x:v>已校准并批准的修正模型</x:v>
      </x:c>
      <x:c r="D20" s="88" t="str">
        <x:v>提供数据、拟合、验证和批准记录</x:v>
      </x:c>
      <x:c r="E20" s="88" t="str">
        <x:v>是</x:v>
      </x:c>
      <x:c r="F20" s="88" t="str">
        <x:v>适用于log_linear_calibrated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cafdc4cd4d84069"/>
  </x:tableParts>
</x:worksheet>
</file>