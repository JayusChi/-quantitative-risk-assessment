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8.xml" ContentType="application/vnd.openxmlformats-officedocument.spreadsheetml.worksheet+xml"/>
  <Override PartName="/xl/tables/table11.xml" ContentType="application/vnd.openxmlformats-officedocument.spreadsheetml.table+xml"/>
  <Override PartName="/xl/worksheets/sheet9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9882b7c65e47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概览" sheetId="1" r:id="R98f44e14f7d24caa"/>
    <x:sheet xmlns:r="http://schemas.openxmlformats.org/officeDocument/2006/relationships" name="运行模型校验" sheetId="2" r:id="R4d9a10df24304263"/>
    <x:sheet xmlns:r="http://schemas.openxmlformats.org/officeDocument/2006/relationships" name="管段风险排序" sheetId="3" r:id="Rabdefa778ef84b28"/>
    <x:sheet xmlns:r="http://schemas.openxmlformats.org/officeDocument/2006/relationships" name="个人风险" sheetId="4" r:id="R6059a254423240fa"/>
    <x:sheet xmlns:r="http://schemas.openxmlformats.org/officeDocument/2006/relationships" name="社会风险FN" sheetId="5" r:id="R7efd988f07004a1b"/>
    <x:sheet xmlns:r="http://schemas.openxmlformats.org/officeDocument/2006/relationships" name="频率诊断" sheetId="6" r:id="R27d37a5cbe844c23"/>
    <x:sheet xmlns:r="http://schemas.openxmlformats.org/officeDocument/2006/relationships" name="指标与修正系数" sheetId="7" r:id="R0afdc76e2fd24f31"/>
    <x:sheet xmlns:r="http://schemas.openxmlformats.org/officeDocument/2006/relationships" name="主导场景" sheetId="8" r:id="R100bb7c6a22644d5"/>
    <x:sheet xmlns:r="http://schemas.openxmlformats.org/officeDocument/2006/relationships" name="物理模型说明" sheetId="9" r:id="R06bd272315d34c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000E+00"/>
    <x:numFmt numFmtId="201" formatCode="0.0%"/>
    <x:numFmt numFmtId="202" formatCode="0.000E+00"/>
    <x:numFmt numFmtId="203" formatCode="0.000"/>
    <x:numFmt numFmtId="204" formatCode="#,##0.000"/>
    <x:numFmt numFmtId="205" formatCode="0.00"/>
    <x:numFmt numFmtId="206" formatCode="0.000000"/>
  </x:numFmts>
  <x:fonts count="1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95959"/>
      <x:name val="Carlito"/>
    </x:font>
    <x:font>
      <x:b/>
      <x:sz val="11"/>
      <x:color rgb="FFFFFFFF"/>
      <x:name val="Carlito"/>
    </x:font>
    <x:font>
      <x:b/>
      <x:sz val="14"/>
      <x:color rgb="FF17365D"/>
      <x:name val="Carlito"/>
    </x:font>
    <x:font>
      <x:b/>
      <x:sz val="11"/>
      <x:color rgb="FF17365D"/>
      <x:name val="Carlito"/>
    </x:font>
    <x:font>
      <x:b/>
      <x:i/>
      <x:sz val="10"/>
      <x:color rgb="FF17365D"/>
      <x:name val="Carlito"/>
    </x:font>
    <x:font>
      <x:b/>
      <x:sz val="11"/>
      <x:color rgb="FF7F6000"/>
      <x:name val="Carlito"/>
    </x:font>
    <x:font>
      <x:b/>
      <x:sz val="11"/>
      <x:color rgb="FF404040"/>
      <x:name val="Carlito"/>
    </x:font>
    <x:font>
      <x:b/>
      <x:sz val="10"/>
      <x:color rgb="FFFFFFFF"/>
      <x:name val="Microsoft YaHei"/>
    </x:font>
    <x:font>
      <x:i/>
      <x:sz val="10"/>
      <x:color rgb="FF595959"/>
      <x:name val="Microsoft YaHei"/>
    </x:font>
    <x:font>
      <x:sz val="10"/>
      <x:name val="Microsoft YaHei"/>
    </x:font>
    <x:font>
      <x:b/>
      <x:sz val="10"/>
      <x:color rgb="FF17365D"/>
      <x:name val="Microsoft YaHei"/>
    </x:font>
    <x:font>
      <x:b/>
      <x:i/>
      <x:sz val="10"/>
      <x:color rgb="FF17365D"/>
      <x:name val="Microsoft YaHei"/>
    </x:font>
    <x:font>
      <x:b/>
      <x:sz val="10"/>
      <x:color rgb="FF7F6000"/>
      <x:name val="Microsoft YaHei"/>
    </x:font>
    <x:font>
      <x:b/>
      <x:sz val="10"/>
      <x:color rgb="FF404040"/>
      <x:name val="Microsoft YaHei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0F6B78"/>
      </x:patternFill>
    </x:fill>
    <x:fill>
      <x:patternFill patternType="solid">
        <x:fgColor rgb="FFDDEFEF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C65911"/>
      </x:patternFill>
    </x:fill>
    <x:fill>
      <x:patternFill patternType="solid">
        <x:fgColor rgb="FFFFF2CC"/>
      </x:patternFill>
    </x:fill>
  </x:fills>
  <x:borders count="12">
    <x:border/>
    <x:border>
      <x:left style="thin">
        <x:color rgb="FFB7C9D6"/>
      </x:left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top style="thin">
        <x:color rgb="FFB7C9D6"/>
      </x:top>
    </x:border>
  </x:borders>
  <x:cellStyleXfs count="1">
    <x:xf numFmtId="0" fontId="0" fillId="0" borderId="0"/>
  </x:cellStyleXfs>
  <x:cellXfs count="1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4" fillId="6" borderId="3" xfId="0" applyNumberFormat="1" applyFont="1" applyFill="1" applyBorder="1" applyAlignment="1">
      <x:alignment horizontal="center" vertical="center"/>
    </x:xf>
    <x:xf numFmtId="0" fontId="4" fillId="6" borderId="4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5" xfId="0" applyNumberFormat="1" applyFont="1" applyFill="1" applyBorder="1"/>
    <x:xf numFmtId="0" fontId="3" fillId="7" borderId="5" xfId="0" applyNumberFormat="1" applyFont="1" applyFill="1" applyBorder="1" applyAlignment="1">
      <x:alignment wrapText="1"/>
    </x:xf>
    <x:xf numFmtId="0" fontId="3" fillId="7" borderId="5" xfId="0" applyNumberFormat="1" applyFont="1" applyFill="1" applyBorder="1" applyAlignment="1">
      <x:alignment horizontal="center" wrapText="1"/>
    </x:xf>
    <x:xf numFmtId="0" fontId="3" fillId="7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5" fillId="3" borderId="6" xfId="0" applyNumberFormat="1" applyFont="1" applyFill="1" applyBorder="1"/>
    <x:xf numFmtId="0" fontId="5" fillId="3" borderId="7" xfId="0" applyNumberFormat="1" applyFont="1" applyFill="1" applyBorder="1"/>
    <x:xf numFmtId="202" fontId="0" fillId="0" borderId="7" xfId="0" applyNumberFormat="1" applyFont="1" applyFill="1" applyBorder="1"/>
    <x:xf numFmtId="0" fontId="5" fillId="3" borderId="8" xfId="0" applyNumberFormat="1" applyFont="1" applyFill="1" applyBorder="1"/>
    <x:xf numFmtId="201" fontId="0" fillId="0" borderId="8" xfId="0" applyNumberFormat="1" applyFont="1" applyFill="1" applyBorder="1"/>
    <x:xf numFmtId="0" fontId="5" fillId="3" borderId="6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wrapText="1"/>
    </x:xf>
    <x:xf numFmtId="202" fontId="0" fillId="0" borderId="7" xfId="0" applyNumberFormat="1" applyFont="1" applyFill="1" applyBorder="1" applyAlignment="1">
      <x:alignment wrapText="1"/>
    </x:xf>
    <x:xf numFmtId="0" fontId="5" fillId="3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0" fontId="5" fillId="3" borderId="8" xfId="0" applyNumberFormat="1" applyFont="1" applyFill="1" applyBorder="1" applyAlignment="1">
      <x:alignment vertical="center" wrapText="1"/>
    </x:xf>
    <x:xf numFmtId="201" fontId="0" fillId="0" borderId="8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9" borderId="0" xfId="0" applyNumberFormat="1" applyFont="1" applyFill="1" applyBorder="1"/>
    <x:xf numFmtId="0" fontId="0" fillId="9" borderId="9" xfId="0" applyNumberFormat="1" applyFont="1" applyFill="1" applyBorder="1"/>
    <x:xf numFmtId="0" fontId="0" fillId="9" borderId="10" xfId="0" applyNumberFormat="1" applyFont="1" applyFill="1" applyBorder="1"/>
    <x:xf numFmtId="0" fontId="0" fillId="9" borderId="11" xfId="0" applyNumberFormat="1" applyFont="1" applyFill="1" applyBorder="1"/>
    <x:xf numFmtId="0" fontId="0" fillId="9" borderId="9" xfId="0" applyNumberFormat="1" applyFont="1" applyFill="1" applyBorder="1" applyAlignment="1">
      <x:alignment wrapText="1"/>
    </x:xf>
    <x:xf numFmtId="0" fontId="0" fillId="9" borderId="10" xfId="0" applyNumberFormat="1" applyFont="1" applyFill="1" applyBorder="1" applyAlignment="1">
      <x:alignment wrapText="1"/>
    </x:xf>
    <x:xf numFmtId="0" fontId="0" fillId="9" borderId="11" xfId="0" applyNumberFormat="1" applyFont="1" applyFill="1" applyBorder="1" applyAlignment="1">
      <x:alignment wrapText="1"/>
    </x:xf>
    <x:xf numFmtId="0" fontId="0" fillId="9" borderId="9" xfId="0" applyNumberFormat="1" applyFont="1" applyFill="1" applyBorder="1" applyAlignment="1">
      <x:alignment vertical="center" wrapText="1"/>
    </x:xf>
    <x:xf numFmtId="0" fontId="0" fillId="9" borderId="10" xfId="0" applyNumberFormat="1" applyFont="1" applyFill="1" applyBorder="1" applyAlignment="1">
      <x:alignment vertical="center" wrapText="1"/>
    </x:xf>
    <x:xf numFmtId="0" fontId="0" fillId="9" borderId="11" xfId="0" applyNumberFormat="1" applyFont="1" applyFill="1" applyBorder="1" applyAlignment="1">
      <x:alignment vertical="center" wrapText="1"/>
    </x:xf>
    <x:xf numFmtId="201" fontId="0" fillId="0" borderId="6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center" wrapText="1"/>
    </x:xf>
    <x:xf numFmtId="203" fontId="0" fillId="0" borderId="6" xfId="0" applyNumberFormat="1" applyFont="1" applyFill="1" applyBorder="1" applyAlignment="1">
      <x:alignment vertical="center" wrapText="1"/>
    </x:xf>
    <x:xf numFmtId="203" fontId="0" fillId="0" borderId="7" xfId="0" applyNumberFormat="1" applyFont="1" applyFill="1" applyBorder="1" applyAlignment="1">
      <x:alignment vertical="center" wrapText="1"/>
    </x:xf>
    <x:xf numFmtId="203" fontId="0" fillId="0" borderId="8" xfId="0" applyNumberFormat="1" applyFont="1" applyFill="1" applyBorder="1" applyAlignment="1">
      <x:alignment vertical="center" wrapText="1"/>
    </x:xf>
    <x:xf numFmtId="204" fontId="0" fillId="0" borderId="6" xfId="0" applyNumberFormat="1" applyFont="1" applyFill="1" applyBorder="1" applyAlignment="1">
      <x:alignment vertical="center" wrapText="1"/>
    </x:xf>
    <x:xf numFmtId="204" fontId="0" fillId="0" borderId="7" xfId="0" applyNumberFormat="1" applyFont="1" applyFill="1" applyBorder="1" applyAlignment="1">
      <x:alignment vertical="center" wrapText="1"/>
    </x:xf>
    <x:xf numFmtId="204" fontId="0" fillId="0" borderId="8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wrapText="1"/>
    </x:xf>
    <x:xf numFmtId="201" fontId="0" fillId="0" borderId="7" xfId="0" applyNumberFormat="1" applyFont="1" applyFill="1" applyBorder="1"/>
    <x:xf numFmtId="201" fontId="0" fillId="0" borderId="7" xfId="0" applyNumberFormat="1" applyFont="1" applyFill="1" applyBorder="1" applyAlignment="1">
      <x:alignment wrapText="1"/>
    </x:xf>
    <x:xf numFmtId="0" fontId="8" fillId="9" borderId="0" xfId="0" applyNumberFormat="1" applyFont="1" applyFill="1" applyBorder="1"/>
    <x:xf numFmtId="205" fontId="0" fillId="0" borderId="6" xfId="0" applyNumberFormat="1" applyFont="1" applyFill="1" applyBorder="1" applyAlignment="1">
      <x:alignment vertical="center" wrapText="1"/>
    </x:xf>
    <x:xf numFmtId="205" fontId="0" fillId="0" borderId="7" xfId="0" applyNumberFormat="1" applyFont="1" applyFill="1" applyBorder="1" applyAlignment="1">
      <x:alignment vertical="center" wrapText="1"/>
    </x:xf>
    <x:xf numFmtId="205" fontId="0" fillId="0" borderId="8" xfId="0" applyNumberFormat="1" applyFont="1" applyFill="1" applyBorder="1" applyAlignment="1">
      <x:alignment vertical="center" wrapText="1"/>
    </x:xf>
    <x:xf numFmtId="206" fontId="0" fillId="0" borderId="6" xfId="0" applyNumberFormat="1" applyFont="1" applyFill="1" applyBorder="1" applyAlignment="1">
      <x:alignment vertical="center" wrapText="1"/>
    </x:xf>
    <x:xf numFmtId="206" fontId="0" fillId="0" borderId="7" xfId="0" applyNumberFormat="1" applyFont="1" applyFill="1" applyBorder="1" applyAlignment="1">
      <x:alignment vertical="center" wrapText="1"/>
    </x:xf>
    <x:xf numFmtId="206" fontId="0" fillId="0" borderId="8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9" fillId="4" borderId="0" xfId="0" applyNumberFormat="1" applyFont="1" applyFill="1" applyBorder="1" applyAlignment="1">
      <x:alignment horizontal="center"/>
    </x:xf>
    <x:xf numFmtId="200" fontId="12" fillId="5" borderId="1" xfId="0" applyNumberFormat="1" applyFont="1" applyFill="1" applyBorder="1" applyAlignment="1">
      <x:alignment horizontal="center" vertical="center"/>
    </x:xf>
    <x:xf numFmtId="200" fontId="12" fillId="5" borderId="2" xfId="0" applyNumberFormat="1" applyFont="1" applyFill="1" applyBorder="1" applyAlignment="1">
      <x:alignment horizontal="center" vertical="center"/>
    </x:xf>
    <x:xf numFmtId="0" fontId="12" fillId="5" borderId="1" xfId="0" applyNumberFormat="1" applyFont="1" applyFill="1" applyBorder="1" applyAlignment="1">
      <x:alignment horizontal="center" vertical="center"/>
    </x:xf>
    <x:xf numFmtId="0" fontId="12" fillId="5" borderId="2" xfId="0" applyNumberFormat="1" applyFont="1" applyFill="1" applyBorder="1" applyAlignment="1">
      <x:alignment horizontal="center" vertical="center"/>
    </x:xf>
    <x:xf numFmtId="0" fontId="12" fillId="6" borderId="1" xfId="0" applyNumberFormat="1" applyFont="1" applyFill="1" applyBorder="1" applyAlignment="1">
      <x:alignment horizontal="center" vertical="center"/>
    </x:xf>
    <x:xf numFmtId="0" fontId="12" fillId="6" borderId="2" xfId="0" applyNumberFormat="1" applyFont="1" applyFill="1" applyBorder="1" applyAlignment="1">
      <x:alignment horizontal="center" vertical="center"/>
    </x:xf>
    <x:xf numFmtId="200" fontId="12" fillId="5" borderId="3" xfId="0" applyNumberFormat="1" applyFont="1" applyFill="1" applyBorder="1" applyAlignment="1">
      <x:alignment horizontal="center" vertical="center"/>
    </x:xf>
    <x:xf numFmtId="200" fontId="12" fillId="5" borderId="4" xfId="0" applyNumberFormat="1" applyFont="1" applyFill="1" applyBorder="1" applyAlignment="1">
      <x:alignment horizontal="center" vertical="center"/>
    </x:xf>
    <x:xf numFmtId="0" fontId="12" fillId="5" borderId="3" xfId="0" applyNumberFormat="1" applyFont="1" applyFill="1" applyBorder="1" applyAlignment="1">
      <x:alignment horizontal="center" vertical="center"/>
    </x:xf>
    <x:xf numFmtId="0" fontId="12" fillId="5" borderId="4" xfId="0" applyNumberFormat="1" applyFont="1" applyFill="1" applyBorder="1" applyAlignment="1">
      <x:alignment horizontal="center" vertical="center"/>
    </x:xf>
    <x:xf numFmtId="0" fontId="12" fillId="6" borderId="3" xfId="0" applyNumberFormat="1" applyFont="1" applyFill="1" applyBorder="1" applyAlignment="1">
      <x:alignment horizontal="center" vertical="center"/>
    </x:xf>
    <x:xf numFmtId="0" fontId="12" fillId="6" borderId="4" xfId="0" applyNumberFormat="1" applyFont="1" applyFill="1" applyBorder="1" applyAlignment="1">
      <x:alignment horizontal="center" vertical="center"/>
    </x:xf>
    <x:xf numFmtId="0" fontId="9" fillId="7" borderId="0" xfId="0" applyNumberFormat="1" applyFont="1" applyFill="1" applyBorder="1"/>
    <x:xf numFmtId="0" fontId="9" fillId="7" borderId="5" xfId="0" applyNumberFormat="1" applyFont="1" applyFill="1" applyBorder="1" applyAlignment="1">
      <x:alignment horizontal="center" vertical="center" wrapText="1"/>
    </x:xf>
    <x:xf numFmtId="0" fontId="11" fillId="0" borderId="6" xfId="0" applyNumberFormat="1" applyFont="1" applyFill="1" applyBorder="1" applyAlignment="1">
      <x:alignment vertical="center" wrapText="1"/>
    </x:xf>
    <x:xf numFmtId="200" fontId="11" fillId="0" borderId="6" xfId="0" applyNumberFormat="1" applyFont="1" applyFill="1" applyBorder="1" applyAlignment="1">
      <x:alignment vertical="center" wrapText="1"/>
    </x:xf>
    <x:xf numFmtId="0" fontId="11" fillId="0" borderId="7" xfId="0" applyNumberFormat="1" applyFont="1" applyFill="1" applyBorder="1" applyAlignment="1">
      <x:alignment vertical="center" wrapText="1"/>
    </x:xf>
    <x:xf numFmtId="200" fontId="11" fillId="0" borderId="7" xfId="0" applyNumberFormat="1" applyFont="1" applyFill="1" applyBorder="1" applyAlignment="1">
      <x:alignment vertical="center" wrapText="1"/>
    </x:xf>
    <x:xf numFmtId="0" fontId="11" fillId="0" borderId="8" xfId="0" applyNumberFormat="1" applyFont="1" applyFill="1" applyBorder="1" applyAlignment="1">
      <x:alignment vertical="center" wrapText="1"/>
    </x:xf>
    <x:xf numFmtId="200" fontId="11" fillId="0" borderId="8" xfId="0" applyNumberFormat="1" applyFont="1" applyFill="1" applyBorder="1" applyAlignment="1">
      <x:alignment vertical="center" wrapText="1"/>
    </x:xf>
    <x:xf numFmtId="0" fontId="12" fillId="3" borderId="6" xfId="0" applyNumberFormat="1" applyFont="1" applyFill="1" applyBorder="1" applyAlignment="1">
      <x:alignment vertical="center" wrapText="1"/>
    </x:xf>
    <x:xf numFmtId="0" fontId="12" fillId="3" borderId="7" xfId="0" applyNumberFormat="1" applyFont="1" applyFill="1" applyBorder="1" applyAlignment="1">
      <x:alignment vertical="center" wrapText="1"/>
    </x:xf>
    <x:xf numFmtId="202" fontId="11" fillId="0" borderId="7" xfId="0" applyNumberFormat="1" applyFont="1" applyFill="1" applyBorder="1" applyAlignment="1">
      <x:alignment vertical="center" wrapText="1"/>
    </x:xf>
    <x:xf numFmtId="0" fontId="12" fillId="3" borderId="8" xfId="0" applyNumberFormat="1" applyFont="1" applyFill="1" applyBorder="1" applyAlignment="1">
      <x:alignment vertical="center" wrapText="1"/>
    </x:xf>
    <x:xf numFmtId="201" fontId="11" fillId="0" borderId="8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/>
    <x:xf numFmtId="0" fontId="11" fillId="9" borderId="9" xfId="0" applyNumberFormat="1" applyFont="1" applyFill="1" applyBorder="1" applyAlignment="1">
      <x:alignment vertical="center" wrapText="1"/>
    </x:xf>
    <x:xf numFmtId="0" fontId="11" fillId="9" borderId="10" xfId="0" applyNumberFormat="1" applyFont="1" applyFill="1" applyBorder="1" applyAlignment="1">
      <x:alignment vertical="center" wrapText="1"/>
    </x:xf>
    <x:xf numFmtId="0" fontId="11" fillId="9" borderId="11" xfId="0" applyNumberFormat="1" applyFont="1" applyFill="1" applyBorder="1" applyAlignment="1">
      <x:alignment vertical="center" wrapText="1"/>
    </x:xf>
    <x:xf numFmtId="201" fontId="11" fillId="0" borderId="6" xfId="0" applyNumberFormat="1" applyFont="1" applyFill="1" applyBorder="1" applyAlignment="1">
      <x:alignment vertical="center" wrapText="1"/>
    </x:xf>
    <x:xf numFmtId="203" fontId="11" fillId="0" borderId="6" xfId="0" applyNumberFormat="1" applyFont="1" applyFill="1" applyBorder="1" applyAlignment="1">
      <x:alignment vertical="center" wrapText="1"/>
    </x:xf>
    <x:xf numFmtId="204" fontId="11" fillId="0" borderId="6" xfId="0" applyNumberFormat="1" applyFont="1" applyFill="1" applyBorder="1" applyAlignment="1">
      <x:alignment vertical="center" wrapText="1"/>
    </x:xf>
    <x:xf numFmtId="201" fontId="11" fillId="0" borderId="7" xfId="0" applyNumberFormat="1" applyFont="1" applyFill="1" applyBorder="1" applyAlignment="1">
      <x:alignment vertical="center" wrapText="1"/>
    </x:xf>
    <x:xf numFmtId="203" fontId="11" fillId="0" borderId="7" xfId="0" applyNumberFormat="1" applyFont="1" applyFill="1" applyBorder="1" applyAlignment="1">
      <x:alignment vertical="center" wrapText="1"/>
    </x:xf>
    <x:xf numFmtId="204" fontId="11" fillId="0" borderId="7" xfId="0" applyNumberFormat="1" applyFont="1" applyFill="1" applyBorder="1" applyAlignment="1">
      <x:alignment vertical="center" wrapText="1"/>
    </x:xf>
    <x:xf numFmtId="203" fontId="11" fillId="0" borderId="8" xfId="0" applyNumberFormat="1" applyFont="1" applyFill="1" applyBorder="1" applyAlignment="1">
      <x:alignment vertical="center" wrapText="1"/>
    </x:xf>
    <x:xf numFmtId="204" fontId="11" fillId="0" borderId="8" xfId="0" applyNumberFormat="1" applyFont="1" applyFill="1" applyBorder="1" applyAlignment="1">
      <x:alignment vertical="center" wrapText="1"/>
    </x:xf>
    <x:xf numFmtId="0" fontId="13" fillId="3" borderId="0" xfId="0" applyNumberFormat="1" applyFont="1" applyFill="1" applyBorder="1" applyAlignment="1">
      <x:alignment vertical="center" wrapText="1"/>
    </x:xf>
    <x:xf numFmtId="200" fontId="10" fillId="3" borderId="0" xfId="0" applyNumberFormat="1" applyFont="1" applyFill="1" applyBorder="1" applyAlignment="1">
      <x:alignment vertical="center" wrapText="1"/>
    </x:xf>
    <x:xf numFmtId="0" fontId="12" fillId="3" borderId="0" xfId="0" applyNumberFormat="1" applyFont="1" applyFill="1" applyBorder="1"/>
    <x:xf numFmtId="200" fontId="11" fillId="0" borderId="0" xfId="0" applyNumberFormat="1" applyFont="1" applyFill="1" applyBorder="1"/>
    <x:xf numFmtId="0" fontId="14" fillId="9" borderId="0" xfId="0" applyNumberFormat="1" applyFont="1" applyFill="1" applyBorder="1" applyAlignment="1">
      <x:alignment vertical="center" wrapText="1"/>
    </x:xf>
    <x:xf numFmtId="0" fontId="11" fillId="9" borderId="0" xfId="0" applyNumberFormat="1" applyFont="1" applyFill="1" applyBorder="1" applyAlignment="1">
      <x:alignment wrapText="1"/>
    </x:xf>
    <x:xf numFmtId="0" fontId="15" fillId="9" borderId="0" xfId="0" applyNumberFormat="1" applyFont="1" applyFill="1" applyBorder="1"/>
    <x:xf numFmtId="205" fontId="11" fillId="0" borderId="6" xfId="0" applyNumberFormat="1" applyFont="1" applyFill="1" applyBorder="1" applyAlignment="1">
      <x:alignment vertical="center" wrapText="1"/>
    </x:xf>
    <x:xf numFmtId="205" fontId="11" fillId="0" borderId="7" xfId="0" applyNumberFormat="1" applyFont="1" applyFill="1" applyBorder="1" applyAlignment="1">
      <x:alignment vertical="center" wrapText="1"/>
    </x:xf>
    <x:xf numFmtId="205" fontId="11" fillId="0" borderId="8" xfId="0" applyNumberFormat="1" applyFont="1" applyFill="1" applyBorder="1" applyAlignment="1">
      <x:alignment vertical="center" wrapText="1"/>
    </x:xf>
    <x:xf numFmtId="206" fontId="11" fillId="0" borderId="6" xfId="0" applyNumberFormat="1" applyFont="1" applyFill="1" applyBorder="1" applyAlignment="1">
      <x:alignment vertical="center" wrapText="1"/>
    </x:xf>
    <x:xf numFmtId="206" fontId="11" fillId="0" borderId="7" xfId="0" applyNumberFormat="1" applyFont="1" applyFill="1" applyBorder="1" applyAlignment="1">
      <x:alignment vertical="center" wrapText="1"/>
    </x:xf>
    <x:xf numFmtId="206" fontId="11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341661452c49b3" /><Relationship Type="http://schemas.openxmlformats.org/officeDocument/2006/relationships/theme" Target="/xl/theme/theme1.xml" Id="R906665b35d594411" /><Relationship Type="http://schemas.openxmlformats.org/officeDocument/2006/relationships/sharedStrings" Target="/xl/sharedStrings.xml" Id="R7ffae53da1754f9d" /><Relationship Type="http://schemas.openxmlformats.org/officeDocument/2006/relationships/worksheet" Target="/xl/worksheets/sheet1.xml" Id="R98f44e14f7d24caa" /><Relationship Type="http://schemas.openxmlformats.org/officeDocument/2006/relationships/worksheet" Target="/xl/worksheets/sheet2.xml" Id="R4d9a10df24304263" /><Relationship Type="http://schemas.openxmlformats.org/officeDocument/2006/relationships/worksheet" Target="/xl/worksheets/sheet3.xml" Id="Rabdefa778ef84b28" /><Relationship Type="http://schemas.openxmlformats.org/officeDocument/2006/relationships/worksheet" Target="/xl/worksheets/sheet4.xml" Id="R6059a254423240fa" /><Relationship Type="http://schemas.openxmlformats.org/officeDocument/2006/relationships/worksheet" Target="/xl/worksheets/sheet5.xml" Id="R7efd988f07004a1b" /><Relationship Type="http://schemas.openxmlformats.org/officeDocument/2006/relationships/worksheet" Target="/xl/worksheets/sheet6.xml" Id="R27d37a5cbe844c23" /><Relationship Type="http://schemas.openxmlformats.org/officeDocument/2006/relationships/worksheet" Target="/xl/worksheets/sheet7.xml" Id="R0afdc76e2fd24f31" /><Relationship Type="http://schemas.openxmlformats.org/officeDocument/2006/relationships/worksheet" Target="/xl/worksheets/sheet8.xml" Id="R100bb7c6a22644d5" /><Relationship Type="http://schemas.openxmlformats.org/officeDocument/2006/relationships/worksheet" Target="/xl/worksheets/sheet9.xml" Id="R06bd272315d34ca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af8ce738f5e4a0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b058e5cb30f64cb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eb1be9338a5248e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管段PLL排名前10（期望死亡/年）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PLL（期望死亡/年）</c:v>
          </c:tx>
          <c:cat>
            <c:strRef>
              <c:f>'结果概览'!$B$10:$B$19</c:f>
              <c:strCache>
                <c:ptCount val="0"/>
              </c:strCache>
            </c:strRef>
          </c:cat>
          <c:val>
            <c:numRef>
              <c:f>'结果概览'!$C$10:$C$19</c:f>
              <c:numCache>
                <c:formatCode>0.000000E+00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E+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各人口受体个人风险IR（1/年）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个人风险IR（1/年）</c:v>
          </c:tx>
          <c:cat>
            <c:strRef>
              <c:f>'个人风险'!$A$5:$A$12</c:f>
              <c:strCache>
                <c:ptCount val="0"/>
              </c:strCache>
            </c:strRef>
          </c:cat>
          <c:val>
            <c:numRef>
              <c:f>'个人风险'!$B$5:$B$12</c:f>
              <c:numCache>
                <c:formatCode>0.000000E+00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E+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F-N曲线（累计频率/年）</a:t>
            </a:r>
          </a:p>
        </c:rich>
      </c:tx>
    </c:title>
    <c:plotArea>
      <c:lineChart>
        <c:grouping val="standard"/>
        <c:ser>
          <c:idx val="0"/>
          <c:order val="0"/>
          <c:tx>
            <c:v>累计频率（1/年）</c:v>
          </c:tx>
          <c:marker>
            <c:symbol val="none"/>
          </c:marker>
          <c:cat>
            <c:strRef>
              <c:f>'社会风险FN'!$A$5:$A$10</c:f>
              <c:strCache>
                <c:ptCount val="0"/>
              </c:strCache>
            </c:strRef>
          </c:cat>
          <c:val>
            <c:numRef>
              <c:f>'社会风险FN'!$B$5:$B$10</c:f>
              <c:numCache>
                <c:formatCode>0.000000E+00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E+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7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f8ce738f5e4a0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58e5cb30f64cb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1be9338a5248e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verviewTop10Table" displayName="OverviewTop10Table" ref="A9:C19" headerRowCount="1" totalsRowCount="0" totalsRowShown="0">
  <x:tableColumns count="3">
    <x:tableColumn id="1" name="排名"/>
    <x:tableColumn id="2" name="管段"/>
    <x:tableColumn id="3" name="PLL（期望死亡/年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unModelAuditTable" displayName="RunModelAuditTable" ref="A4:D28" headerRowCount="1" totalsRowCount="0" totalsRowShown="0">
  <x:tableColumns count="4">
    <x:tableColumn id="1" name="类别"/>
    <x:tableColumn id="2" name="字段"/>
    <x:tableColumn id="3" name="值"/>
    <x:tableColumn id="4" name="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alidationIssuesTable" displayName="ValidationIssuesTable" ref="F4:I8" headerRowCount="1" totalsRowCount="0" totalsRowShown="0">
  <x:tableColumns count="4">
    <x:tableColumn id="1" name="严重度"/>
    <x:tableColumn id="2" name="代码"/>
    <x:tableColumn id="3" name="JSON路径"/>
    <x:tableColumn id="4" name="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gmentRiskRankingTable" displayName="SegmentRiskRankingTable" ref="A4:W24" headerRowCount="1" totalsRowCount="0" totalsRowShown="0">
  <x:tableColumns count="23">
    <x:tableColumn id="1" name="PLL排名"/>
    <x:tableColumn id="2" name="管段"/>
    <x:tableColumn id="3" name="起点km"/>
    <x:tableColumn id="4" name="终点km"/>
    <x:tableColumn id="5" name="长度km"/>
    <x:tableColumn id="6" name="PLL/年"/>
    <x:tableColumn id="7" name="全线PLL占比"/>
    <x:tableColumn id="8" name="PLL/(km·年)"/>
    <x:tableColumn id="9" name="密度排名"/>
    <x:tableColumn id="10" name="管段最大IR/年"/>
    <x:tableColumn id="11" name="最大IR受体"/>
    <x:tableColumn id="12" name="IR排名"/>
    <x:tableColumn id="13" name="IR等级"/>
    <x:tableColumn id="14" name="最大条件死亡人数"/>
    <x:tableColumn id="15" name="后果排名"/>
    <x:tableColumn id="16" name="起始失效频率/年"/>
    <x:tableColumn id="17" name="主导分支"/>
    <x:tableColumn id="18" name="主导孔径"/>
    <x:tableColumn id="19" name="主导泄漏点"/>
    <x:tableColumn id="20" name="气象"/>
    <x:tableColumn id="21" name="释放率kg/s"/>
    <x:tableColumn id="22" name="场景死亡人数"/>
    <x:tableColumn id="23" name="场景PLL贡献/年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dividualRiskTable" displayName="IndividualRiskTable" ref="A4:D12" headerRowCount="1" totalsRowCount="0" totalsRowShown="0">
  <x:tableColumns count="4">
    <x:tableColumn id="1" name="受体ID"/>
    <x:tableColumn id="2" name="个人风险IR（1/年）"/>
    <x:tableColumn id="3" name="等级"/>
    <x:tableColumn id="4" name="处理要求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cietalFNTable" displayName="SocietalFNTable" ref="A4:C10" headerRowCount="1" totalsRowCount="0" totalsRowShown="0">
  <x:tableColumns count="3">
    <x:tableColumn id="1" name="死亡人数至少N"/>
    <x:tableColumn id="2" name="累计频率（1/年）"/>
    <x:tableColumn id="3" name="判定状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ranchFrequencyTable" displayName="BranchFrequencyTable" ref="D4:E8" headerRowCount="1" totalsRowCount="0" totalsRowShown="0">
  <x:tableColumns count="2">
    <x:tableColumn id="1" name="事件树分支"/>
    <x:tableColumn id="2" name="年频率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LocFrequencyTable" displayName="LocFrequencyTable" ref="A12:J92" headerRowCount="1" totalsRowCount="0" totalsRowShown="0">
  <x:tableColumns count="10">
    <x:tableColumn id="1" name="管段"/>
    <x:tableColumn id="2" name="泄漏场景"/>
    <x:tableColumn id="3" name="年频率"/>
    <x:tableColumn id="4" name="外腐蚀"/>
    <x:tableColumn id="5" name="内腐蚀"/>
    <x:tableColumn id="6" name="SCC"/>
    <x:tableColumn id="7" name="制造施工"/>
    <x:tableColumn id="8" name="第三方"/>
    <x:tableColumn id="9" name="地灾"/>
    <x:tableColumn id="10" name="误操作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IndicatorCoverageTable" displayName="IndicatorCoverageTable" ref="D4:H21" headerRowCount="1" totalsRowCount="0" totalsRowShown="0">
  <x:tableColumns count="5">
    <x:tableColumn id="1" name="指标组"/>
    <x:tableColumn id="2" name="定义数"/>
    <x:tableColumn id="3" name="应有观测槽"/>
    <x:tableColumn id="4" name="已覆盖观测槽"/>
    <x:tableColumn id="5" name="覆盖率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orrectionFactorsTable" displayName="CorrectionFactorsTable" ref="A25:H45" headerRowCount="1" totalsRowCount="0" totalsRowShown="0">
  <x:tableColumns count="8">
    <x:tableColumn id="1" name="管段"/>
    <x:tableColumn id="2" name="external_corrosion"/>
    <x:tableColumn id="3" name="internal_corrosion"/>
    <x:tableColumn id="4" name="stress_corrosion_cracking"/>
    <x:tableColumn id="5" name="manufacturing_construction"/>
    <x:tableColumn id="6" name="third_party_damage"/>
    <x:tableColumn id="7" name="natural_geohazard"/>
    <x:tableColumn id="8" name="misoperati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opScenarioContributionTable" displayName="TopScenarioContributionTable" ref="A4:O54" headerRowCount="1" totalsRowCount="0" totalsRowShown="0">
  <x:tableColumns count="15">
    <x:tableColumn id="1" name="序号"/>
    <x:tableColumn id="2" name="管段"/>
    <x:tableColumn id="3" name="泄漏点"/>
    <x:tableColumn id="4" name="孔径"/>
    <x:tableColumn id="5" name="天气"/>
    <x:tableColumn id="6" name="分支"/>
    <x:tableColumn id="7" name="年频率"/>
    <x:tableColumn id="8" name="释放率kg/s"/>
    <x:tableColumn id="9" name="期望死亡人数"/>
    <x:tableColumn id="10" name="PLL贡献/年"/>
    <x:tableColumn id="11" name="最大条件死亡概率"/>
    <x:tableColumn id="12" name="最大受体"/>
    <x:tableColumn id="13" name="效应类型"/>
    <x:tableColumn id="14" name="效应值"/>
    <x:tableColumn id="15" name="单位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ReleaseRateSummaryTable" displayName="ReleaseRateSummaryTable" ref="A11:D15" headerRowCount="1" totalsRowCount="0" totalsRowShown="0">
  <x:tableColumns count="4">
    <x:tableColumn id="1" name="泄漏场景"/>
    <x:tableColumn id="2" name="最小释放率kg/s"/>
    <x:tableColumn id="3" name="最大释放率kg/s"/>
    <x:tableColumn id="4" name="计算泄漏点数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FormulaTraceTable" displayName="FormulaTraceTable" ref="F4:G13" headerRowCount="1" totalsRowCount="0" totalsRowShown="0">
  <x:tableColumns count="2">
    <x:tableColumn id="1" name="序号"/>
    <x:tableColumn id="2" name="公式追踪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e5c83614193464a" /><Relationship Type="http://schemas.openxmlformats.org/officeDocument/2006/relationships/table" Target="/xl/tables/table1.xml" Id="Ra8b80a57698e40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4abb619727345e2" /><Relationship Type="http://schemas.openxmlformats.org/officeDocument/2006/relationships/table" Target="/xl/tables/table3.xml" Id="R7fc8e10f3b9e4f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f685330eab0a44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30332c0597d84169" /><Relationship Type="http://schemas.openxmlformats.org/officeDocument/2006/relationships/table" Target="/xl/tables/table5.xml" Id="R8bfefdb1cae549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424b07fe9842405c" /><Relationship Type="http://schemas.openxmlformats.org/officeDocument/2006/relationships/table" Target="/xl/tables/table6.xml" Id="R76aef756948645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e53185bb0ccc42f0" /><Relationship Type="http://schemas.openxmlformats.org/officeDocument/2006/relationships/table" Target="/xl/tables/table8.xml" Id="R07194039821d43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9.xml" Id="R748b1ca4bd17427c" /><Relationship Type="http://schemas.openxmlformats.org/officeDocument/2006/relationships/table" Target="/xl/tables/table10.xml" Id="R9a38000c590f49d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1.xml" Id="Ra6feee78d7c8406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2.xml" Id="R05f0b203d7084f2d" /><Relationship Type="http://schemas.openxmlformats.org/officeDocument/2006/relationships/table" Target="/xl/tables/table13.xml" Id="R3cc7125238aa47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0" hidden="0" customWidth="1"/>
    <x:col min="3" max="3" width="20" hidden="0" customWidth="1"/>
    <x:col min="4" max="4" width="20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30" customHeight="1">
      <x:c r="A1" s="105" t="str">
        <x:v>AQ/T 3046人员域QRA计算结果概览</x:v>
      </x:c>
      <x:c r="B1" s="105" t="str">
        <x:v>AQ/T 3046人员域QRA计算结果概览</x:v>
      </x:c>
      <x:c r="C1" s="105" t="str">
        <x:v>AQ/T 3046人员域QRA计算结果概览</x:v>
      </x:c>
      <x:c r="D1" s="105" t="str">
        <x:v>AQ/T 3046人员域QRA计算结果概览</x:v>
      </x:c>
      <x:c r="E1" s="105" t="str">
        <x:v>AQ/T 3046人员域QRA计算结果概览</x:v>
      </x:c>
      <x:c r="F1" s="105" t="str">
        <x:v>AQ/T 3046人员域QRA计算结果概览</x:v>
      </x:c>
      <x:c r="G1" s="105" t="str">
        <x:v>AQ/T 3046人员域QRA计算结果概览</x:v>
      </x:c>
      <x:c r="H1" s="105" t="str">
        <x:v>AQ/T 3046人员域QRA计算结果概览</x:v>
      </x:c>
      <x:c r="I1" s="105" t="str">
        <x:v>AQ/T 3046人员域QRA计算结果概览</x:v>
      </x:c>
      <x:c r="J1" s="105" t="str">
        <x:v>AQ/T 3046人员域QRA计算结果概览</x:v>
      </x:c>
      <x:c r="K1" s="105" t="str">
        <x:v>AQ/T 3046人员域QRA计算结果概览</x:v>
      </x:c>
      <x:c r="L1" s="105" t="str">
        <x:v>AQ/T 3046人员域QRA计算结果概览</x:v>
      </x:c>
    </x:row>
    <x:row r="2" ht="32" customHeight="1">
      <x:c r="A2" s="106" t="str">
        <x:v>来源：D:/Siga/风险定量评估/计算引擎/output/aqt3046_physical_chain_result.json。本文件为计算层输出解析；当前案例为合成测试数据，不能作为真实管道安全决策或正式报告。</x:v>
      </x:c>
      <x:c r="B2" s="106" t="str">
        <x:v>来源：D:/Siga/风险定量评估/计算引擎/output/aqt3046_physical_chain_result.json。本文件为计算层输出解析；当前案例为合成测试数据，不能作为真实管道安全决策或正式报告。</x:v>
      </x:c>
      <x:c r="C2" s="106" t="str">
        <x:v>来源：D:/Siga/风险定量评估/计算引擎/output/aqt3046_physical_chain_result.json。本文件为计算层输出解析；当前案例为合成测试数据，不能作为真实管道安全决策或正式报告。</x:v>
      </x:c>
      <x:c r="D2" s="106" t="str">
        <x:v>来源：D:/Siga/风险定量评估/计算引擎/output/aqt3046_physical_chain_result.json。本文件为计算层输出解析；当前案例为合成测试数据，不能作为真实管道安全决策或正式报告。</x:v>
      </x:c>
      <x:c r="E2" s="106" t="str">
        <x:v>来源：D:/Siga/风险定量评估/计算引擎/output/aqt3046_physical_chain_result.json。本文件为计算层输出解析；当前案例为合成测试数据，不能作为真实管道安全决策或正式报告。</x:v>
      </x:c>
      <x:c r="F2" s="106" t="str">
        <x:v>来源：D:/Siga/风险定量评估/计算引擎/output/aqt3046_physical_chain_result.json。本文件为计算层输出解析；当前案例为合成测试数据，不能作为真实管道安全决策或正式报告。</x:v>
      </x:c>
      <x:c r="G2" s="106" t="str">
        <x:v>来源：D:/Siga/风险定量评估/计算引擎/output/aqt3046_physical_chain_result.json。本文件为计算层输出解析；当前案例为合成测试数据，不能作为真实管道安全决策或正式报告。</x:v>
      </x:c>
      <x:c r="H2" s="106" t="str">
        <x:v>来源：D:/Siga/风险定量评估/计算引擎/output/aqt3046_physical_chain_result.json。本文件为计算层输出解析；当前案例为合成测试数据，不能作为真实管道安全决策或正式报告。</x:v>
      </x:c>
      <x:c r="I2" s="106" t="str">
        <x:v>来源：D:/Siga/风险定量评估/计算引擎/output/aqt3046_physical_chain_result.json。本文件为计算层输出解析；当前案例为合成测试数据，不能作为真实管道安全决策或正式报告。</x:v>
      </x:c>
      <x:c r="J2" s="106" t="str">
        <x:v>来源：D:/Siga/风险定量评估/计算引擎/output/aqt3046_physical_chain_result.json。本文件为计算层输出解析；当前案例为合成测试数据，不能作为真实管道安全决策或正式报告。</x:v>
      </x:c>
      <x:c r="K2" s="106" t="str">
        <x:v>来源：D:/Siga/风险定量评估/计算引擎/output/aqt3046_physical_chain_result.json。本文件为计算层输出解析；当前案例为合成测试数据，不能作为真实管道安全决策或正式报告。</x:v>
      </x:c>
      <x:c r="L2" s="106" t="str">
        <x:v>来源：D:/Siga/风险定量评估/计算引擎/output/aqt3046_physical_chain_result.json。本文件为计算层输出解析；当前案例为合成测试数据，不能作为真实管道安全决策或正式报告。</x:v>
      </x:c>
    </x:row>
    <x:row r="3">
      <x:c r="A3" s="107"/>
      <x:c r="B3" s="107"/>
      <x:c r="C3" s="107"/>
      <x:c r="D3" s="107"/>
      <x:c r="E3" s="107"/>
      <x:c r="F3" s="107"/>
      <x:c r="G3" s="107"/>
      <x:c r="H3" s="107"/>
      <x:c r="I3" s="107"/>
      <x:c r="J3" s="107"/>
      <x:c r="K3" s="107"/>
      <x:c r="L3" s="107"/>
    </x:row>
    <x:row r="4">
      <x:c r="A4" s="108" t="str">
        <x:v>最大个人风险（1/年）</x:v>
      </x:c>
      <x:c r="B4" s="108" t="str">
        <x:v>最大个人风险（1/年）</x:v>
      </x:c>
      <x:c r="C4" s="108" t="str">
        <x:v>个人风险判定</x:v>
      </x:c>
      <x:c r="D4" s="108" t="str">
        <x:v>个人风险判定</x:v>
      </x:c>
      <x:c r="E4" s="108" t="str">
        <x:v>全线PLL（期望死亡/年）</x:v>
      </x:c>
      <x:c r="F4" s="108" t="str">
        <x:v>全线PLL（期望死亡/年）</x:v>
      </x:c>
      <x:c r="G4" s="108" t="str">
        <x:v>PLL排名第一管段</x:v>
      </x:c>
      <x:c r="H4" s="108" t="str">
        <x:v>PLL排名第一管段</x:v>
      </x:c>
      <x:c r="I4" s="108" t="str">
        <x:v>展开场景数</x:v>
      </x:c>
      <x:c r="J4" s="108" t="str">
        <x:v>展开场景数</x:v>
      </x:c>
      <x:c r="K4" s="108" t="str">
        <x:v>正式报告允许</x:v>
      </x:c>
      <x:c r="L4" s="108" t="str">
        <x:v>正式报告允许</x:v>
      </x:c>
    </x:row>
    <x:row r="5">
      <x:c r="A5" s="109" t="n">
        <x:f>MAX('个人风险'!$B$5:$B$12)</x:f>
        <x:v>0.000036546299459738425</x:v>
      </x:c>
      <x:c r="B5" s="110"/>
      <x:c r="C5" s="111" t="str">
        <x:v>中风险（ALARP）</x:v>
      </x:c>
      <x:c r="D5" s="112" t="str">
        <x:v>中风险（ALARP）</x:v>
      </x:c>
      <x:c r="E5" s="109" t="n">
        <x:f>SUM('管段风险排序'!$F$5:$F$24)</x:f>
        <x:v>0.044876128786991897</x:v>
      </x:c>
      <x:c r="F5" s="110"/>
      <x:c r="G5" s="111" t="str">
        <x:f>'管段风险排序'!$B$5</x:f>
        <x:v>SEG-011</x:v>
      </x:c>
      <x:c r="H5" s="112"/>
      <x:c r="I5" s="111" t="n">
        <x:v>20480</x:v>
      </x:c>
      <x:c r="J5" s="112" t="n">
        <x:v>20480</x:v>
      </x:c>
      <x:c r="K5" s="113" t="str">
        <x:v>否</x:v>
      </x:c>
      <x:c r="L5" s="114" t="str">
        <x:v>否</x:v>
      </x:c>
    </x:row>
    <x:row r="6">
      <x:c r="A6" s="115"/>
      <x:c r="B6" s="116"/>
      <x:c r="C6" s="117" t="str">
        <x:v>中风险（ALARP）</x:v>
      </x:c>
      <x:c r="D6" s="118" t="str">
        <x:v>中风险（ALARP）</x:v>
      </x:c>
      <x:c r="E6" s="115"/>
      <x:c r="F6" s="116"/>
      <x:c r="G6" s="117"/>
      <x:c r="H6" s="118"/>
      <x:c r="I6" s="117" t="n">
        <x:v>20480</x:v>
      </x:c>
      <x:c r="J6" s="118" t="n">
        <x:v>20480</x:v>
      </x:c>
      <x:c r="K6" s="119" t="str">
        <x:v>否</x:v>
      </x:c>
      <x:c r="L6" s="120" t="str">
        <x:v>否</x:v>
      </x:c>
    </x:row>
    <x:row r="7">
      <x:c r="A7" s="107"/>
      <x:c r="B7" s="107"/>
      <x:c r="C7" s="107"/>
      <x:c r="D7" s="107"/>
      <x:c r="E7" s="107"/>
      <x:c r="F7" s="107"/>
      <x:c r="G7" s="107"/>
      <x:c r="H7" s="107"/>
      <x:c r="I7" s="107"/>
      <x:c r="J7" s="107"/>
      <x:c r="K7" s="107"/>
      <x:c r="L7" s="107"/>
    </x:row>
    <x:row r="8">
      <x:c r="A8" s="121" t="str">
        <x:v>PLL排名前10管段</x:v>
      </x:c>
      <x:c r="B8" s="121" t="str">
        <x:v>PLL排名前10管段</x:v>
      </x:c>
      <x:c r="C8" s="121" t="str">
        <x:v>PLL排名前10管段</x:v>
      </x:c>
      <x:c r="D8" s="107"/>
      <x:c r="E8" s="107"/>
      <x:c r="F8" s="107"/>
      <x:c r="G8" s="107"/>
      <x:c r="H8" s="107"/>
      <x:c r="I8" s="107"/>
      <x:c r="J8" s="107"/>
      <x:c r="K8" s="107"/>
      <x:c r="L8" s="107"/>
    </x:row>
    <x:row r="9" ht="32" customHeight="1">
      <x:c r="A9" s="122" t="str">
        <x:v>排名</x:v>
      </x:c>
      <x:c r="B9" s="122" t="str">
        <x:v>管段</x:v>
      </x:c>
      <x:c r="C9" s="122" t="str">
        <x:v>PLL（期望死亡/年）</x:v>
      </x:c>
      <x:c r="D9" s="107"/>
      <x:c r="E9" s="107"/>
      <x:c r="F9" s="107"/>
      <x:c r="G9" s="107"/>
      <x:c r="H9" s="107"/>
      <x:c r="I9" s="107"/>
      <x:c r="J9" s="107"/>
      <x:c r="K9" s="107"/>
      <x:c r="L9" s="107"/>
    </x:row>
    <x:row r="10" ht="28" customHeight="1">
      <x:c r="A10" s="123" t="n">
        <x:v>1</x:v>
      </x:c>
      <x:c r="B10" s="123" t="str">
        <x:v>SEG-011</x:v>
      </x:c>
      <x:c r="C10" s="124" t="n">
        <x:v>0.004734861847482358</x:v>
      </x:c>
      <x:c r="D10" s="107"/>
      <x:c r="E10" s="107"/>
      <x:c r="F10" s="107"/>
      <x:c r="G10" s="107"/>
      <x:c r="H10" s="107"/>
      <x:c r="I10" s="107"/>
      <x:c r="J10" s="107"/>
      <x:c r="K10" s="107"/>
      <x:c r="L10" s="107"/>
    </x:row>
    <x:row r="11" ht="28" customHeight="1">
      <x:c r="A11" s="125" t="n">
        <x:v>2</x:v>
      </x:c>
      <x:c r="B11" s="125" t="str">
        <x:v>SEG-012</x:v>
      </x:c>
      <x:c r="C11" s="126" t="n">
        <x:v>0.004598550296712593</x:v>
      </x:c>
      <x:c r="D11" s="107"/>
      <x:c r="E11" s="107"/>
      <x:c r="F11" s="107"/>
      <x:c r="G11" s="107"/>
      <x:c r="H11" s="107"/>
      <x:c r="I11" s="107"/>
      <x:c r="J11" s="107"/>
      <x:c r="K11" s="107"/>
      <x:c r="L11" s="107"/>
    </x:row>
    <x:row r="12" ht="28" customHeight="1">
      <x:c r="A12" s="125" t="n">
        <x:v>3</x:v>
      </x:c>
      <x:c r="B12" s="125" t="str">
        <x:v>SEG-013</x:v>
      </x:c>
      <x:c r="C12" s="126" t="n">
        <x:v>0.004104612695205327</x:v>
      </x:c>
      <x:c r="D12" s="107"/>
      <x:c r="E12" s="107"/>
      <x:c r="F12" s="107"/>
      <x:c r="G12" s="107"/>
      <x:c r="H12" s="107"/>
      <x:c r="I12" s="107"/>
      <x:c r="J12" s="107"/>
      <x:c r="K12" s="107"/>
      <x:c r="L12" s="107"/>
    </x:row>
    <x:row r="13" ht="28" customHeight="1">
      <x:c r="A13" s="125" t="n">
        <x:v>4</x:v>
      </x:c>
      <x:c r="B13" s="125" t="str">
        <x:v>SEG-014</x:v>
      </x:c>
      <x:c r="C13" s="126" t="n">
        <x:v>0.0040628170159092165</x:v>
      </x:c>
      <x:c r="D13" s="107"/>
      <x:c r="E13" s="107"/>
      <x:c r="F13" s="107"/>
      <x:c r="G13" s="107"/>
      <x:c r="H13" s="107"/>
      <x:c r="I13" s="107"/>
      <x:c r="J13" s="107"/>
      <x:c r="K13" s="107"/>
      <x:c r="L13" s="107"/>
    </x:row>
    <x:row r="14" ht="28" customHeight="1">
      <x:c r="A14" s="125" t="n">
        <x:v>5</x:v>
      </x:c>
      <x:c r="B14" s="125" t="str">
        <x:v>SEG-015</x:v>
      </x:c>
      <x:c r="C14" s="126" t="n">
        <x:v>0.003909503153788628</x:v>
      </x:c>
      <x:c r="D14" s="107"/>
      <x:c r="E14" s="107"/>
      <x:c r="F14" s="107"/>
      <x:c r="G14" s="107"/>
      <x:c r="H14" s="107"/>
      <x:c r="I14" s="107"/>
      <x:c r="J14" s="107"/>
      <x:c r="K14" s="107"/>
      <x:c r="L14" s="107"/>
    </x:row>
    <x:row r="15" ht="28" customHeight="1">
      <x:c r="A15" s="125" t="n">
        <x:v>6</x:v>
      </x:c>
      <x:c r="B15" s="125" t="str">
        <x:v>SEG-008</x:v>
      </x:c>
      <x:c r="C15" s="126" t="n">
        <x:v>0.0037298446400458357</x:v>
      </x:c>
      <x:c r="D15" s="107"/>
      <x:c r="E15" s="107"/>
      <x:c r="F15" s="107"/>
      <x:c r="G15" s="107"/>
      <x:c r="H15" s="107"/>
      <x:c r="I15" s="107"/>
      <x:c r="J15" s="107"/>
      <x:c r="K15" s="107"/>
      <x:c r="L15" s="107"/>
    </x:row>
    <x:row r="16" ht="28" customHeight="1">
      <x:c r="A16" s="125" t="n">
        <x:v>7</x:v>
      </x:c>
      <x:c r="B16" s="125" t="str">
        <x:v>SEG-010</x:v>
      </x:c>
      <x:c r="C16" s="126" t="n">
        <x:v>0.0033743240441982156</x:v>
      </x:c>
      <x:c r="D16" s="107"/>
      <x:c r="E16" s="107"/>
      <x:c r="F16" s="107"/>
      <x:c r="G16" s="107"/>
      <x:c r="H16" s="107"/>
      <x:c r="I16" s="107"/>
      <x:c r="J16" s="107"/>
      <x:c r="K16" s="107"/>
      <x:c r="L16" s="107"/>
    </x:row>
    <x:row r="17" ht="28" customHeight="1">
      <x:c r="A17" s="125" t="n">
        <x:v>8</x:v>
      </x:c>
      <x:c r="B17" s="125" t="str">
        <x:v>SEG-007</x:v>
      </x:c>
      <x:c r="C17" s="126" t="n">
        <x:v>0.0033236374407622613</x:v>
      </x:c>
      <x:c r="D17" s="107"/>
      <x:c r="E17" s="107"/>
      <x:c r="F17" s="107"/>
      <x:c r="G17" s="107"/>
      <x:c r="H17" s="107"/>
      <x:c r="I17" s="107"/>
      <x:c r="J17" s="107"/>
      <x:c r="K17" s="107"/>
      <x:c r="L17" s="107"/>
    </x:row>
    <x:row r="18" ht="28" customHeight="1">
      <x:c r="A18" s="125" t="n">
        <x:v>9</x:v>
      </x:c>
      <x:c r="B18" s="125" t="str">
        <x:v>SEG-009</x:v>
      </x:c>
      <x:c r="C18" s="126" t="n">
        <x:v>0.002884312446771964</x:v>
      </x:c>
      <x:c r="D18" s="107"/>
      <x:c r="E18" s="107"/>
      <x:c r="F18" s="107"/>
      <x:c r="G18" s="107"/>
      <x:c r="H18" s="107"/>
      <x:c r="I18" s="107"/>
      <x:c r="J18" s="107"/>
      <x:c r="K18" s="107"/>
      <x:c r="L18" s="107"/>
    </x:row>
    <x:row r="19" ht="28" customHeight="1">
      <x:c r="A19" s="127" t="n">
        <x:v>10</x:v>
      </x:c>
      <x:c r="B19" s="127" t="str">
        <x:v>SEG-016</x:v>
      </x:c>
      <x:c r="C19" s="128" t="n">
        <x:v>0.0025233858725571775</x:v>
      </x:c>
      <x:c r="D19" s="107"/>
      <x:c r="E19" s="107"/>
      <x:c r="F19" s="107"/>
      <x:c r="G19" s="107"/>
      <x:c r="H19" s="107"/>
      <x:c r="I19" s="107"/>
      <x:c r="J19" s="107"/>
      <x:c r="K19" s="107"/>
      <x:c r="L19" s="107"/>
    </x:row>
    <x:row r="20">
      <x:c r="A20" s="107"/>
      <x:c r="B20" s="107"/>
      <x:c r="C20" s="107"/>
      <x:c r="D20" s="107"/>
      <x:c r="E20" s="107"/>
      <x:c r="F20" s="107"/>
      <x:c r="G20" s="107"/>
      <x:c r="H20" s="107"/>
      <x:c r="I20" s="107"/>
      <x:c r="J20" s="107"/>
      <x:c r="K20" s="107"/>
      <x:c r="L20" s="107"/>
    </x:row>
    <x:row r="21">
      <x:c r="A21" s="121" t="str">
        <x:v>关键状态</x:v>
      </x:c>
      <x:c r="B21" s="121" t="str">
        <x:v>关键状态</x:v>
      </x:c>
      <x:c r="C21" s="121" t="str">
        <x:v>关键状态</x:v>
      </x:c>
      <x:c r="D21" s="121" t="str">
        <x:v>关键状态</x:v>
      </x:c>
      <x:c r="E21" s="121" t="str">
        <x:v>关键状态</x:v>
      </x:c>
      <x:c r="F21" s="121" t="str">
        <x:v>关键状态</x:v>
      </x:c>
      <x:c r="G21" s="121" t="str">
        <x:v>关键状态</x:v>
      </x:c>
      <x:c r="H21" s="121" t="str">
        <x:v>关键状态</x:v>
      </x:c>
      <x:c r="I21" s="121" t="str">
        <x:v>关键状态</x:v>
      </x:c>
      <x:c r="J21" s="121" t="str">
        <x:v>关键状态</x:v>
      </x:c>
      <x:c r="K21" s="121" t="str">
        <x:v>关键状态</x:v>
      </x:c>
      <x:c r="L21" s="121" t="str">
        <x:v>关键状态</x:v>
      </x:c>
    </x:row>
    <x:row r="22" ht="26" customHeight="1">
      <x:c r="A22" s="129" t="str">
        <x:v>运行ID</x:v>
      </x:c>
      <x:c r="B22" s="123" t="str">
        <x:v>RUN-40317fbb5f5327dc-AQT3046_PHYSICAL</x:v>
      </x:c>
      <x:c r="C22" s="129" t="str">
        <x:v>计算配置</x:v>
      </x:c>
      <x:c r="D22" s="123" t="str">
        <x:v>aqt3046-physical</x:v>
      </x:c>
      <x:c r="E22" s="107"/>
      <x:c r="F22" s="107"/>
      <x:c r="G22" s="107"/>
      <x:c r="H22" s="107"/>
      <x:c r="I22" s="107"/>
      <x:c r="J22" s="107"/>
      <x:c r="K22" s="107"/>
      <x:c r="L22" s="107"/>
    </x:row>
    <x:row r="23" ht="26" customHeight="1">
      <x:c r="A23" s="130" t="str">
        <x:v>案例ID</x:v>
      </x:c>
      <x:c r="B23" s="125" t="str">
        <x:v>SYN-QRA-NG-PIPE-001</x:v>
      </x:c>
      <x:c r="C23" s="130" t="str">
        <x:v>评价ID</x:v>
      </x:c>
      <x:c r="D23" s="125" t="str">
        <x:v>SYN-RA-0001</x:v>
      </x:c>
      <x:c r="E23" s="107"/>
      <x:c r="F23" s="107"/>
      <x:c r="G23" s="107"/>
      <x:c r="H23" s="107"/>
      <x:c r="I23" s="107"/>
      <x:c r="J23" s="107"/>
      <x:c r="K23" s="107"/>
      <x:c r="L23" s="107"/>
    </x:row>
    <x:row r="24" ht="26" customHeight="1">
      <x:c r="A24" s="130" t="str">
        <x:v>引擎版本</x:v>
      </x:c>
      <x:c r="B24" s="125" t="str">
        <x:v>0.3.0</x:v>
      </x:c>
      <x:c r="C24" s="130" t="str">
        <x:v>数据分类</x:v>
      </x:c>
      <x:c r="D24" s="125" t="str">
        <x:v>SYNTHETIC_TEST_ONLY</x:v>
      </x:c>
      <x:c r="E24" s="107"/>
      <x:c r="F24" s="107"/>
      <x:c r="G24" s="107"/>
      <x:c r="H24" s="107"/>
      <x:c r="I24" s="107"/>
      <x:c r="J24" s="107"/>
      <x:c r="K24" s="107"/>
      <x:c r="L24" s="107"/>
    </x:row>
    <x:row r="25" ht="26" customHeight="1">
      <x:c r="A25" s="130" t="str">
        <x:v>校验状态</x:v>
      </x:c>
      <x:c r="B25" s="125" t="str">
        <x:v>PASS_WITH_WARNING</x:v>
      </x:c>
      <x:c r="C25" s="130" t="str">
        <x:v>校验问题数</x:v>
      </x:c>
      <x:c r="D25" s="125" t="n">
        <x:v>4</x:v>
      </x:c>
      <x:c r="E25" s="107"/>
      <x:c r="F25" s="107"/>
      <x:c r="G25" s="107"/>
      <x:c r="H25" s="107"/>
      <x:c r="I25" s="107"/>
      <x:c r="J25" s="107"/>
      <x:c r="K25" s="107"/>
      <x:c r="L25" s="107"/>
    </x:row>
    <x:row r="26" ht="26" customHeight="1">
      <x:c r="A26" s="130" t="str">
        <x:v>泄漏点数</x:v>
      </x:c>
      <x:c r="B26" s="125" t="n">
        <x:v>160</x:v>
      </x:c>
      <x:c r="C26" s="130" t="str">
        <x:v>频率守恒误差</x:v>
      </x:c>
      <x:c r="D26" s="131" t="n">
        <x:v>4.336808689942018e-19</x:v>
      </x:c>
      <x:c r="E26" s="107"/>
      <x:c r="F26" s="107"/>
      <x:c r="G26" s="107"/>
      <x:c r="H26" s="107"/>
      <x:c r="I26" s="107"/>
      <x:c r="J26" s="107"/>
      <x:c r="K26" s="107"/>
      <x:c r="L26" s="107"/>
    </x:row>
    <x:row r="27" ht="26" customHeight="1">
      <x:c r="A27" s="132" t="str">
        <x:v>指标定义数</x:v>
      </x:c>
      <x:c r="B27" s="127" t="n">
        <x:v>246</x:v>
      </x:c>
      <x:c r="C27" s="132" t="str">
        <x:v>必需指标覆盖率</x:v>
      </x:c>
      <x:c r="D27" s="133" t="n">
        <x:v>1</x:v>
      </x:c>
      <x:c r="E27" s="107"/>
      <x:c r="F27" s="107"/>
      <x:c r="G27" s="107"/>
      <x:c r="H27" s="107"/>
      <x:c r="I27" s="107"/>
      <x:c r="J27" s="107"/>
      <x:c r="K27" s="107"/>
      <x:c r="L27" s="107"/>
    </x:row>
    <x:row r="28">
      <x:c r="A28" s="107"/>
      <x:c r="B28" s="107"/>
      <x:c r="C28" s="107"/>
      <x:c r="D28" s="107"/>
      <x:c r="E28" s="107"/>
      <x:c r="F28" s="107"/>
      <x:c r="G28" s="107"/>
      <x:c r="H28" s="107"/>
      <x:c r="I28" s="107"/>
      <x:c r="J28" s="107"/>
      <x:c r="K28" s="107"/>
      <x:c r="L28" s="107"/>
    </x:row>
    <x:row r="29">
      <x:c r="A29" s="134" t="str">
        <x:v>正式报告阻断原因</x:v>
      </x:c>
      <x:c r="B29" s="134" t="str">
        <x:v>正式报告阻断原因</x:v>
      </x:c>
      <x:c r="C29" s="134" t="str">
        <x:v>正式报告阻断原因</x:v>
      </x:c>
      <x:c r="D29" s="134" t="str">
        <x:v>正式报告阻断原因</x:v>
      </x:c>
      <x:c r="E29" s="134" t="str">
        <x:v>正式报告阻断原因</x:v>
      </x:c>
      <x:c r="F29" s="134" t="str">
        <x:v>正式报告阻断原因</x:v>
      </x:c>
      <x:c r="G29" s="134" t="str">
        <x:v>正式报告阻断原因</x:v>
      </x:c>
      <x:c r="H29" s="134" t="str">
        <x:v>正式报告阻断原因</x:v>
      </x:c>
      <x:c r="I29" s="134" t="str">
        <x:v>正式报告阻断原因</x:v>
      </x:c>
      <x:c r="J29" s="134" t="str">
        <x:v>正式报告阻断原因</x:v>
      </x:c>
      <x:c r="K29" s="134" t="str">
        <x:v>正式报告阻断原因</x:v>
      </x:c>
      <x:c r="L29" s="134" t="str">
        <x:v>正式报告阻断原因</x:v>
      </x:c>
    </x:row>
    <x:row r="30" ht="30" customHeight="1">
      <x:c r="A30" s="135" t="n">
        <x:v>1</x:v>
      </x:c>
      <x:c r="B30" s="135" t="str">
        <x:v>输入数据或参数未满足正式报告条件</x:v>
      </x:c>
      <x:c r="C30" s="135"/>
      <x:c r="D30" s="135"/>
      <x:c r="E30" s="135"/>
      <x:c r="F30" s="135"/>
      <x:c r="G30" s="135"/>
      <x:c r="H30" s="135"/>
      <x:c r="I30" s="135"/>
      <x:c r="J30" s="135"/>
      <x:c r="K30" s="135"/>
      <x:c r="L30" s="135"/>
    </x:row>
    <x:row r="31" ht="30" customHeight="1">
      <x:c r="A31" s="136" t="n">
        <x:v>2</x:v>
      </x:c>
      <x:c r="B31" s="136" t="str">
        <x:v>人员后果模型状态为IMPLEMENTED_STANDARD_FORMULAS_PROVISIONAL_VALIDATION</x:v>
      </x:c>
      <x:c r="C31" s="136"/>
      <x:c r="D31" s="136"/>
      <x:c r="E31" s="136"/>
      <x:c r="F31" s="136"/>
      <x:c r="G31" s="136"/>
      <x:c r="H31" s="136"/>
      <x:c r="I31" s="136"/>
      <x:c r="J31" s="136"/>
      <x:c r="K31" s="136"/>
      <x:c r="L31" s="136"/>
    </x:row>
    <x:row r="32" ht="30" customHeight="1">
      <x:c r="A32" s="136" t="n">
        <x:v>3</x:v>
      </x:c>
      <x:c r="B32" s="136" t="str">
        <x:v>transient rupture blowdown and line-pack depletion benchmark</x:v>
      </x:c>
      <x:c r="C32" s="136"/>
      <x:c r="D32" s="136"/>
      <x:c r="E32" s="136"/>
      <x:c r="F32" s="136"/>
      <x:c r="G32" s="136"/>
      <x:c r="H32" s="136"/>
      <x:c r="I32" s="136"/>
      <x:c r="J32" s="136"/>
      <x:c r="K32" s="136"/>
      <x:c r="L32" s="136"/>
    </x:row>
    <x:row r="33" ht="30" customHeight="1">
      <x:c r="A33" s="136" t="n">
        <x:v>4</x:v>
      </x:c>
      <x:c r="B33" s="136" t="str">
        <x:v>pressurized-gas near-field dispersion benchmark</x:v>
      </x:c>
      <x:c r="C33" s="136"/>
      <x:c r="D33" s="136"/>
      <x:c r="E33" s="136"/>
      <x:c r="F33" s="136"/>
      <x:c r="G33" s="136"/>
      <x:c r="H33" s="136"/>
      <x:c r="I33" s="136"/>
      <x:c r="J33" s="136"/>
      <x:c r="K33" s="136"/>
      <x:c r="L33" s="136"/>
    </x:row>
    <x:row r="34" ht="30" customHeight="1">
      <x:c r="A34" s="136" t="n">
        <x:v>5</x:v>
      </x:c>
      <x:c r="B34" s="136" t="str">
        <x:v>independent validation of digitized TNO Figure E.1 curves</x:v>
      </x:c>
      <x:c r="C34" s="136"/>
      <x:c r="D34" s="136"/>
      <x:c r="E34" s="136"/>
      <x:c r="F34" s="136"/>
      <x:c r="G34" s="136"/>
      <x:c r="H34" s="136"/>
      <x:c r="I34" s="136"/>
      <x:c r="J34" s="136"/>
      <x:c r="K34" s="136"/>
      <x:c r="L34" s="136"/>
    </x:row>
    <x:row r="35" ht="30" customHeight="1">
      <x:c r="A35" s="136" t="n">
        <x:v>6</x:v>
      </x:c>
      <x:c r="B35" s="136" t="str">
        <x:v>approved production thermophysical, ignition, occupancy and congestion parameters</x:v>
      </x:c>
      <x:c r="C35" s="136"/>
      <x:c r="D35" s="136"/>
      <x:c r="E35" s="136"/>
      <x:c r="F35" s="136"/>
      <x:c r="G35" s="136"/>
      <x:c r="H35" s="136"/>
      <x:c r="I35" s="136"/>
      <x:c r="J35" s="136"/>
      <x:c r="K35" s="136"/>
      <x:c r="L35" s="136"/>
    </x:row>
    <x:row r="36" ht="30" customHeight="1">
      <x:c r="A36" s="136" t="n">
        <x:v>7</x:v>
      </x:c>
      <x:c r="B36" s="136" t="str">
        <x:v>IR grid and leak-point convergence verification</x:v>
      </x:c>
      <x:c r="C36" s="136"/>
      <x:c r="D36" s="136"/>
      <x:c r="E36" s="136"/>
      <x:c r="F36" s="136"/>
      <x:c r="G36" s="136"/>
      <x:c r="H36" s="136"/>
      <x:c r="I36" s="136"/>
      <x:c r="J36" s="136"/>
      <x:c r="K36" s="136"/>
      <x:c r="L36" s="136"/>
    </x:row>
    <x:row r="37" ht="30" customHeight="1">
      <x:c r="A37" s="136" t="n">
        <x:v>8</x:v>
      </x:c>
      <x:c r="B37" s="136" t="str">
        <x:v>失效频率修正模型或其系数未标记为APPROVED_CALIBRATED/APPROVED_PROJECT_FACTORS</x:v>
      </x:c>
      <x:c r="C37" s="136"/>
      <x:c r="D37" s="136"/>
      <x:c r="E37" s="136"/>
      <x:c r="F37" s="136"/>
      <x:c r="G37" s="136"/>
      <x:c r="H37" s="136"/>
      <x:c r="I37" s="136"/>
      <x:c r="J37" s="136"/>
      <x:c r="K37" s="136"/>
      <x:c r="L37" s="136"/>
    </x:row>
    <x:row r="38" ht="30" customHeight="1">
      <x:c r="A38" s="137" t="n">
        <x:v>9</x:v>
      </x:c>
      <x:c r="B38" s="137" t="str">
        <x:v>工程指标观测为合成测试数据</x:v>
      </x:c>
      <x:c r="C38" s="137"/>
      <x:c r="D38" s="137"/>
      <x:c r="E38" s="137"/>
      <x:c r="F38" s="137"/>
      <x:c r="G38" s="137"/>
      <x:c r="H38" s="137"/>
      <x:c r="I38" s="137"/>
      <x:c r="J38" s="137"/>
      <x:c r="K38" s="137"/>
      <x:c r="L38" s="137"/>
    </x:row>
  </x:sheetData>
  <x:mergeCells>
    <x:mergeCell ref="A1:L1"/>
    <x:mergeCell ref="A2:L2"/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K4:L4"/>
    <x:mergeCell ref="K5:L6"/>
    <x:mergeCell ref="A8:C8"/>
    <x:mergeCell ref="A21:L21"/>
    <x:mergeCell ref="A29:L29"/>
    <x:mergeCell ref="B30:L30"/>
    <x:mergeCell ref="B31:L31"/>
    <x:mergeCell ref="B32:L32"/>
    <x:mergeCell ref="B33:L33"/>
    <x:mergeCell ref="B34:L34"/>
    <x:mergeCell ref="B35:L35"/>
    <x:mergeCell ref="B36:L36"/>
    <x:mergeCell ref="B37:L37"/>
    <x:mergeCell ref="B38:L38"/>
  </x:mergeCells>
  <x:pageMargins left="0.7" right="0.7" top="0.75" bottom="0.75" header="0.3" footer="0.3"/>
  <x:drawing xmlns:r="http://schemas.openxmlformats.org/officeDocument/2006/relationships" r:id="R4e5c83614193464a"/>
  <x:tableParts count="1">
    <x:tablePart xmlns:r="http://schemas.openxmlformats.org/officeDocument/2006/relationships" r:id="Ra8b80a57698e40d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56" hidden="0" customWidth="1"/>
    <x:col min="4" max="4" width="18" hidden="0" customWidth="1"/>
    <x:col min="5" max="5" width="3" hidden="0" customWidth="1"/>
    <x:col min="6" max="6" width="13" hidden="0" customWidth="1"/>
    <x:col min="7" max="7" width="40" hidden="0" customWidth="1"/>
    <x:col min="8" max="8" width="48" hidden="0" customWidth="1"/>
    <x:col min="9" max="9" width="48" hidden="0" customWidth="1"/>
  </x:cols>
  <x:sheetData>
    <x:row r="1" ht="30" customHeight="1">
      <x:c r="A1" s="105" t="str">
        <x:v>运行、模型、校验与审计信息</x:v>
      </x:c>
      <x:c r="B1" s="105" t="str">
        <x:v>运行、模型、校验与审计信息</x:v>
      </x:c>
      <x:c r="C1" s="105" t="str">
        <x:v>运行、模型、校验与审计信息</x:v>
      </x:c>
      <x:c r="D1" s="105" t="str">
        <x:v>运行、模型、校验与审计信息</x:v>
      </x:c>
      <x:c r="E1" s="105" t="str">
        <x:v>运行、模型、校验与审计信息</x:v>
      </x:c>
      <x:c r="F1" s="105" t="str">
        <x:v>运行、模型、校验与审计信息</x:v>
      </x:c>
      <x:c r="G1" s="105" t="str">
        <x:v>运行、模型、校验与审计信息</x:v>
      </x:c>
      <x:c r="H1" s="105" t="str">
        <x:v>运行、模型、校验与审计信息</x:v>
      </x:c>
      <x:c r="I1" s="107"/>
    </x:row>
    <x:row r="2" ht="32" customHeight="1">
      <x:c r="A2" s="106" t="str">
        <x:v>说明本次运行使用了什么模型、参数状态、校验结果以及输入/结果哈希。</x:v>
      </x:c>
      <x:c r="B2" s="106" t="str">
        <x:v>说明本次运行使用了什么模型、参数状态、校验结果以及输入/结果哈希。</x:v>
      </x:c>
      <x:c r="C2" s="106" t="str">
        <x:v>说明本次运行使用了什么模型、参数状态、校验结果以及输入/结果哈希。</x:v>
      </x:c>
      <x:c r="D2" s="106" t="str">
        <x:v>说明本次运行使用了什么模型、参数状态、校验结果以及输入/结果哈希。</x:v>
      </x:c>
      <x:c r="E2" s="106" t="str">
        <x:v>说明本次运行使用了什么模型、参数状态、校验结果以及输入/结果哈希。</x:v>
      </x:c>
      <x:c r="F2" s="106" t="str">
        <x:v>说明本次运行使用了什么模型、参数状态、校验结果以及输入/结果哈希。</x:v>
      </x:c>
      <x:c r="G2" s="106" t="str">
        <x:v>说明本次运行使用了什么模型、参数状态、校验结果以及输入/结果哈希。</x:v>
      </x:c>
      <x:c r="H2" s="106" t="str">
        <x:v>说明本次运行使用了什么模型、参数状态、校验结果以及输入/结果哈希。</x:v>
      </x:c>
      <x:c r="I2" s="107"/>
    </x:row>
    <x:row r="3">
      <x:c r="A3" s="107"/>
      <x:c r="B3" s="107"/>
      <x:c r="C3" s="107"/>
      <x:c r="D3" s="107"/>
      <x:c r="E3" s="107"/>
      <x:c r="F3" s="107"/>
      <x:c r="G3" s="107"/>
      <x:c r="H3" s="107"/>
      <x:c r="I3" s="107"/>
    </x:row>
    <x:row r="4" ht="32" customHeight="1">
      <x:c r="A4" s="122" t="str">
        <x:v>类别</x:v>
      </x:c>
      <x:c r="B4" s="122" t="str">
        <x:v>字段</x:v>
      </x:c>
      <x:c r="C4" s="122" t="str">
        <x:v>值</x:v>
      </x:c>
      <x:c r="D4" s="122" t="str">
        <x:v>说明</x:v>
      </x:c>
      <x:c r="E4" s="107"/>
      <x:c r="F4" s="122" t="str">
        <x:v>严重度</x:v>
      </x:c>
      <x:c r="G4" s="122" t="str">
        <x:v>代码</x:v>
      </x:c>
      <x:c r="H4" s="122" t="str">
        <x:v>JSON路径</x:v>
      </x:c>
      <x:c r="I4" s="122" t="str">
        <x:v>说明</x:v>
      </x:c>
    </x:row>
    <x:row r="5" ht="36" customHeight="1">
      <x:c r="A5" s="123" t="str">
        <x:v>运行</x:v>
      </x:c>
      <x:c r="B5" s="123" t="str">
        <x:v>assessment_id</x:v>
      </x:c>
      <x:c r="C5" s="123" t="str">
        <x:v>SYN-RA-0001</x:v>
      </x:c>
      <x:c r="D5" s="123" t="str">
        <x:v>run</x:v>
      </x:c>
      <x:c r="E5" s="107"/>
      <x:c r="F5" s="123" t="str">
        <x:v>WARNING</x:v>
      </x:c>
      <x:c r="G5" s="123" t="str">
        <x:v>FREQUENCY_CORRECTION_MODEL_NOT_APPROVED</x:v>
      </x:c>
      <x:c r="H5" s="123" t="str">
        <x:v>frequency_correction_model.status</x:v>
      </x:c>
      <x:c r="I5" s="123" t="str">
        <x:v>失效频率修正模型未批准，只允许试算</x:v>
      </x:c>
    </x:row>
    <x:row r="6" ht="36" customHeight="1">
      <x:c r="A6" s="125" t="str">
        <x:v>运行</x:v>
      </x:c>
      <x:c r="B6" s="125" t="str">
        <x:v>calculation_profile</x:v>
      </x:c>
      <x:c r="C6" s="125" t="str">
        <x:v>aqt3046-physical</x:v>
      </x:c>
      <x:c r="D6" s="125" t="str">
        <x:v>run</x:v>
      </x:c>
      <x:c r="E6" s="107"/>
      <x:c r="F6" s="125" t="str">
        <x:v>WARNING</x:v>
      </x:c>
      <x:c r="G6" s="125" t="str">
        <x:v>RISK_CRITERIA_MISSING</x:v>
      </x:c>
      <x:c r="H6" s="125" t="str">
        <x:v>assessment.criteria_set_by_domain.asset</x:v>
      </x:c>
      <x:c r="I6" s="125" t="str">
        <x:v>asset域可计算但不能进行可接受性判定</x:v>
      </x:c>
    </x:row>
    <x:row r="7" ht="36" customHeight="1">
      <x:c r="A7" s="125" t="str">
        <x:v>运行</x:v>
      </x:c>
      <x:c r="B7" s="125" t="str">
        <x:v>case_id</x:v>
      </x:c>
      <x:c r="C7" s="125" t="str">
        <x:v>SYN-QRA-NG-PIPE-001</x:v>
      </x:c>
      <x:c r="D7" s="125" t="str">
        <x:v>run</x:v>
      </x:c>
      <x:c r="E7" s="107"/>
      <x:c r="F7" s="125" t="str">
        <x:v>WARNING</x:v>
      </x:c>
      <x:c r="G7" s="125" t="str">
        <x:v>RISK_CRITERIA_MISSING</x:v>
      </x:c>
      <x:c r="H7" s="125" t="str">
        <x:v>assessment.criteria_set_by_domain.environment</x:v>
      </x:c>
      <x:c r="I7" s="125" t="str">
        <x:v>environment域可计算但不能进行可接受性判定</x:v>
      </x:c>
    </x:row>
    <x:row r="8" ht="36" customHeight="1">
      <x:c r="A8" s="125" t="str">
        <x:v>运行</x:v>
      </x:c>
      <x:c r="B8" s="125" t="str">
        <x:v>data_classification</x:v>
      </x:c>
      <x:c r="C8" s="125" t="str">
        <x:v>SYNTHETIC_TEST_ONLY</x:v>
      </x:c>
      <x:c r="D8" s="125" t="str">
        <x:v>run</x:v>
      </x:c>
      <x:c r="E8" s="107"/>
      <x:c r="F8" s="127" t="str">
        <x:v>WARNING</x:v>
      </x:c>
      <x:c r="G8" s="127" t="str">
        <x:v>RISK_CRITERIA_MISSING</x:v>
      </x:c>
      <x:c r="H8" s="127" t="str">
        <x:v>assessment.criteria_set_by_domain.service</x:v>
      </x:c>
      <x:c r="I8" s="127" t="str">
        <x:v>service域可计算但不能进行可接受性判定</x:v>
      </x:c>
    </x:row>
    <x:row r="9" ht="30" customHeight="1">
      <x:c r="A9" s="125" t="str">
        <x:v>运行</x:v>
      </x:c>
      <x:c r="B9" s="125" t="str">
        <x:v>engine_version</x:v>
      </x:c>
      <x:c r="C9" s="125" t="str">
        <x:v>0.3.0</x:v>
      </x:c>
      <x:c r="D9" s="125" t="str">
        <x:v>run</x:v>
      </x:c>
      <x:c r="E9" s="107"/>
      <x:c r="F9" s="107"/>
      <x:c r="G9" s="107"/>
      <x:c r="H9" s="107"/>
      <x:c r="I9" s="107"/>
    </x:row>
    <x:row r="10" ht="30" customHeight="1">
      <x:c r="A10" s="125" t="str">
        <x:v>运行</x:v>
      </x:c>
      <x:c r="B10" s="125" t="str">
        <x:v>formal_report_allowed</x:v>
      </x:c>
      <x:c r="C10" s="125" t="str">
        <x:v>false</x:v>
      </x:c>
      <x:c r="D10" s="125" t="str">
        <x:v>run</x:v>
      </x:c>
      <x:c r="E10" s="107"/>
      <x:c r="F10" s="107"/>
      <x:c r="G10" s="107"/>
      <x:c r="H10" s="107"/>
      <x:c r="I10" s="107"/>
    </x:row>
    <x:row r="11" ht="30" customHeight="1">
      <x:c r="A11" s="125" t="str">
        <x:v>运行</x:v>
      </x:c>
      <x:c r="B11" s="125" t="str">
        <x:v>run_id</x:v>
      </x:c>
      <x:c r="C11" s="125" t="str">
        <x:v>RUN-40317fbb5f5327dc-AQT3046_PHYSICAL</x:v>
      </x:c>
      <x:c r="D11" s="125" t="str">
        <x:v>run</x:v>
      </x:c>
      <x:c r="E11" s="107"/>
      <x:c r="F11" s="107"/>
      <x:c r="G11" s="107"/>
      <x:c r="H11" s="107"/>
      <x:c r="I11" s="107"/>
    </x:row>
    <x:row r="12" ht="30" customHeight="1">
      <x:c r="A12" s="125" t="str">
        <x:v>模型追踪</x:v>
      </x:c>
      <x:c r="B12" s="125" t="str">
        <x:v>engineering_indicator_catalog_id</x:v>
      </x:c>
      <x:c r="C12" s="125" t="str">
        <x:v>qra.pipeline.engineering_indicators.v1</x:v>
      </x:c>
      <x:c r="D12" s="125" t="str">
        <x:v>model_trace</x:v>
      </x:c>
      <x:c r="E12" s="107"/>
      <x:c r="F12" s="107"/>
      <x:c r="G12" s="107"/>
      <x:c r="H12" s="107"/>
      <x:c r="I12" s="107"/>
    </x:row>
    <x:row r="13" ht="30" customHeight="1">
      <x:c r="A13" s="125" t="str">
        <x:v>模型追踪</x:v>
      </x:c>
      <x:c r="B13" s="125" t="str">
        <x:v>engineering_indicator_catalog_version</x:v>
      </x:c>
      <x:c r="C13" s="125" t="str">
        <x:v>1.0.0</x:v>
      </x:c>
      <x:c r="D13" s="125" t="str">
        <x:v>model_trace</x:v>
      </x:c>
      <x:c r="E13" s="107"/>
      <x:c r="F13" s="107"/>
      <x:c r="G13" s="107"/>
      <x:c r="H13" s="107"/>
      <x:c r="I13" s="107"/>
    </x:row>
    <x:row r="14" ht="30" customHeight="1">
      <x:c r="A14" s="125" t="str">
        <x:v>模型追踪</x:v>
      </x:c>
      <x:c r="B14" s="125" t="str">
        <x:v>external_software_dependency</x:v>
      </x:c>
      <x:c r="C14" s="125" t="str">
        <x:v>—</x:v>
      </x:c>
      <x:c r="D14" s="125" t="str">
        <x:v>model_trace</x:v>
      </x:c>
      <x:c r="E14" s="107"/>
      <x:c r="F14" s="107"/>
      <x:c r="G14" s="107"/>
      <x:c r="H14" s="107"/>
      <x:c r="I14" s="107"/>
    </x:row>
    <x:row r="15" ht="30" customHeight="1">
      <x:c r="A15" s="125" t="str">
        <x:v>模型追踪</x:v>
      </x:c>
      <x:c r="B15" s="125" t="str">
        <x:v>frequency_correction_model_id</x:v>
      </x:c>
      <x:c r="C15" s="125" t="str">
        <x:v>frequency.correction.synthetic_provided.v1</x:v>
      </x:c>
      <x:c r="D15" s="125" t="str">
        <x:v>model_trace</x:v>
      </x:c>
      <x:c r="E15" s="107"/>
      <x:c r="F15" s="107"/>
      <x:c r="G15" s="107"/>
      <x:c r="H15" s="107"/>
      <x:c r="I15" s="107"/>
    </x:row>
    <x:row r="16" ht="30" customHeight="1">
      <x:c r="A16" s="125" t="str">
        <x:v>模型追踪</x:v>
      </x:c>
      <x:c r="B16" s="125" t="str">
        <x:v>frequency_correction_model_status</x:v>
      </x:c>
      <x:c r="C16" s="125" t="str">
        <x:v>SYNTHETIC_TEST_ONLY</x:v>
      </x:c>
      <x:c r="D16" s="125" t="str">
        <x:v>model_trace</x:v>
      </x:c>
      <x:c r="E16" s="107"/>
      <x:c r="F16" s="107"/>
      <x:c r="G16" s="107"/>
      <x:c r="H16" s="107"/>
      <x:c r="I16" s="107"/>
    </x:row>
    <x:row r="17" ht="30" customHeight="1">
      <x:c r="A17" s="125" t="str">
        <x:v>模型追踪</x:v>
      </x:c>
      <x:c r="B17" s="125" t="str">
        <x:v>frequency_correction_model_version</x:v>
      </x:c>
      <x:c r="C17" s="125" t="str">
        <x:v>1.0.0</x:v>
      </x:c>
      <x:c r="D17" s="125" t="str">
        <x:v>model_trace</x:v>
      </x:c>
      <x:c r="E17" s="107"/>
      <x:c r="F17" s="107"/>
      <x:c r="G17" s="107"/>
      <x:c r="H17" s="107"/>
      <x:c r="I17" s="107"/>
    </x:row>
    <x:row r="18" ht="30" customHeight="1">
      <x:c r="A18" s="125" t="str">
        <x:v>模型追踪</x:v>
      </x:c>
      <x:c r="B18" s="125" t="str">
        <x:v>frequency_library_id</x:v>
      </x:c>
      <x:c r="C18" s="125" t="str">
        <x:v>SYN-FREQ-LIB-001</x:v>
      </x:c>
      <x:c r="D18" s="125" t="str">
        <x:v>model_trace</x:v>
      </x:c>
      <x:c r="E18" s="107"/>
      <x:c r="F18" s="107"/>
      <x:c r="G18" s="107"/>
      <x:c r="H18" s="107"/>
      <x:c r="I18" s="107"/>
    </x:row>
    <x:row r="19" ht="30" customHeight="1">
      <x:c r="A19" s="125" t="str">
        <x:v>模型追踪</x:v>
      </x:c>
      <x:c r="B19" s="125" t="str">
        <x:v>frequency_library_version</x:v>
      </x:c>
      <x:c r="C19" s="125" t="str">
        <x:v>1.0.0</x:v>
      </x:c>
      <x:c r="D19" s="125" t="str">
        <x:v>model_trace</x:v>
      </x:c>
      <x:c r="E19" s="107"/>
      <x:c r="F19" s="107"/>
      <x:c r="G19" s="107"/>
      <x:c r="H19" s="107"/>
      <x:c r="I19" s="107"/>
    </x:row>
    <x:row r="20" ht="30" customHeight="1">
      <x:c r="A20" s="125" t="str">
        <x:v>模型追踪</x:v>
      </x:c>
      <x:c r="B20" s="125" t="str">
        <x:v>human_consequence_model_id</x:v>
      </x:c>
      <x:c r="C20" s="125" t="str">
        <x:v>human.aqt3046.pipeline.v1</x:v>
      </x:c>
      <x:c r="D20" s="125" t="str">
        <x:v>model_trace</x:v>
      </x:c>
      <x:c r="E20" s="107"/>
      <x:c r="F20" s="107"/>
      <x:c r="G20" s="107"/>
      <x:c r="H20" s="107"/>
      <x:c r="I20" s="107"/>
    </x:row>
    <x:row r="21" ht="30" customHeight="1">
      <x:c r="A21" s="125" t="str">
        <x:v>模型追踪</x:v>
      </x:c>
      <x:c r="B21" s="125" t="str">
        <x:v>human_consequence_model_status</x:v>
      </x:c>
      <x:c r="C21" s="125" t="str">
        <x:v>IMPLEMENTED_STANDARD_FORMULAS_PROVISIONAL_VALIDATION</x:v>
      </x:c>
      <x:c r="D21" s="125" t="str">
        <x:v>model_trace</x:v>
      </x:c>
      <x:c r="E21" s="107"/>
      <x:c r="F21" s="107"/>
      <x:c r="G21" s="107"/>
      <x:c r="H21" s="107"/>
      <x:c r="I21" s="107"/>
    </x:row>
    <x:row r="22" ht="30" customHeight="1">
      <x:c r="A22" s="125" t="str">
        <x:v>模型追踪</x:v>
      </x:c>
      <x:c r="B22" s="125" t="str">
        <x:v>human_consequence_model_version</x:v>
      </x:c>
      <x:c r="C22" s="125" t="str">
        <x:v>0.2.0</x:v>
      </x:c>
      <x:c r="D22" s="125" t="str">
        <x:v>model_trace</x:v>
      </x:c>
      <x:c r="E22" s="107"/>
      <x:c r="F22" s="107"/>
      <x:c r="G22" s="107"/>
      <x:c r="H22" s="107"/>
      <x:c r="I22" s="107"/>
    </x:row>
    <x:row r="23" ht="30" customHeight="1">
      <x:c r="A23" s="125" t="str">
        <x:v>模型追踪</x:v>
      </x:c>
      <x:c r="B23" s="125" t="str">
        <x:v>human_risk_criterion_id</x:v>
      </x:c>
      <x:c r="C23" s="125" t="str">
        <x:v>GBT34346_2017_ANNEX_C_FIG_C2_REFERENCE_IR</x:v>
      </x:c>
      <x:c r="D23" s="125" t="str">
        <x:v>model_trace</x:v>
      </x:c>
      <x:c r="E23" s="107"/>
      <x:c r="F23" s="107"/>
      <x:c r="G23" s="107"/>
      <x:c r="H23" s="107"/>
      <x:c r="I23" s="107"/>
    </x:row>
    <x:row r="24" ht="30" customHeight="1">
      <x:c r="A24" s="125" t="str">
        <x:v>模型追踪</x:v>
      </x:c>
      <x:c r="B24" s="125" t="str">
        <x:v>qra_model_id</x:v>
      </x:c>
      <x:c r="C24" s="125" t="str">
        <x:v>QRA.NG.PIPELINE.MULTI_CONSEQUENCE.v1</x:v>
      </x:c>
      <x:c r="D24" s="125" t="str">
        <x:v>model_trace</x:v>
      </x:c>
      <x:c r="E24" s="107"/>
      <x:c r="F24" s="107"/>
      <x:c r="G24" s="107"/>
      <x:c r="H24" s="107"/>
      <x:c r="I24" s="107"/>
    </x:row>
    <x:row r="25" ht="30" customHeight="1">
      <x:c r="A25" s="125" t="str">
        <x:v>审计</x:v>
      </x:c>
      <x:c r="B25" s="125" t="str">
        <x:v>deterministic</x:v>
      </x:c>
      <x:c r="C25" s="125" t="str">
        <x:v>true</x:v>
      </x:c>
      <x:c r="D25" s="125" t="str">
        <x:v>audit</x:v>
      </x:c>
      <x:c r="E25" s="107"/>
      <x:c r="F25" s="107"/>
      <x:c r="G25" s="107"/>
      <x:c r="H25" s="107"/>
      <x:c r="I25" s="107"/>
    </x:row>
    <x:row r="26" ht="30" customHeight="1">
      <x:c r="A26" s="125" t="str">
        <x:v>审计</x:v>
      </x:c>
      <x:c r="B26" s="125" t="str">
        <x:v>input_sha256</x:v>
      </x:c>
      <x:c r="C26" s="125" t="str">
        <x:v>40317fbb5f5327dcac9fbf6343cc3385f69200c7b6b160de477aab3577944639</x:v>
      </x:c>
      <x:c r="D26" s="125" t="str">
        <x:v>audit</x:v>
      </x:c>
      <x:c r="E26" s="107"/>
      <x:c r="F26" s="107"/>
      <x:c r="G26" s="107"/>
      <x:c r="H26" s="107"/>
      <x:c r="I26" s="107"/>
    </x:row>
    <x:row r="27" ht="30" customHeight="1">
      <x:c r="A27" s="125" t="str">
        <x:v>审计</x:v>
      </x:c>
      <x:c r="B27" s="125" t="str">
        <x:v>result_hash_scope</x:v>
      </x:c>
      <x:c r="C27" s="125" t="str">
        <x:v>canonical JSON with audit.result_sha256 set to null</x:v>
      </x:c>
      <x:c r="D27" s="125" t="str">
        <x:v>audit</x:v>
      </x:c>
      <x:c r="E27" s="107"/>
      <x:c r="F27" s="107"/>
      <x:c r="G27" s="107"/>
      <x:c r="H27" s="107"/>
      <x:c r="I27" s="107"/>
    </x:row>
    <x:row r="28" ht="30" customHeight="1">
      <x:c r="A28" s="127" t="str">
        <x:v>审计</x:v>
      </x:c>
      <x:c r="B28" s="127" t="str">
        <x:v>result_sha256</x:v>
      </x:c>
      <x:c r="C28" s="127" t="str">
        <x:v>4f5f1bde29b5e9dc331850cabc1dc1d18fd2e5768330e8be0f83a997ae4ea4e4</x:v>
      </x:c>
      <x:c r="D28" s="127" t="str">
        <x:v>audit</x:v>
      </x:c>
      <x:c r="E28" s="107"/>
      <x:c r="F28" s="107"/>
      <x:c r="G28" s="107"/>
      <x:c r="H28" s="107"/>
      <x:c r="I28" s="107"/>
    </x:row>
  </x:sheetData>
  <x:mergeCells>
    <x:mergeCell ref="A1:H1"/>
    <x:mergeCell ref="A2:H2"/>
  </x:mergeCells>
  <x:conditionalFormatting sqref="F5:F8">
    <x:cfRule type="containsText" dxfId="0" priority="1" operator="containsText" text="WARNING"/>
  </x:conditionalFormatting>
  <x:pageMargins left="0.7" right="0.7" top="0.75" bottom="0.75" header="0.3" footer="0.3"/>
  <x:tableParts count="2">
    <x:tablePart xmlns:r="http://schemas.openxmlformats.org/officeDocument/2006/relationships" r:id="R54abb619727345e2"/>
    <x:tablePart xmlns:r="http://schemas.openxmlformats.org/officeDocument/2006/relationships" r:id="R7fc8e10f3b9e4ff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5" hidden="0" customWidth="1"/>
    <x:col min="7" max="7" width="13" hidden="0" customWidth="1"/>
    <x:col min="8" max="8" width="16" hidden="0" customWidth="1"/>
    <x:col min="9" max="9" width="10" hidden="0" customWidth="1"/>
    <x:col min="10" max="10" width="16" hidden="0" customWidth="1"/>
    <x:col min="11" max="11" width="13" hidden="0" customWidth="1"/>
    <x:col min="12" max="12" width="9" hidden="0" customWidth="1"/>
    <x:col min="13" max="13" width="19" hidden="0" customWidth="1"/>
    <x:col min="14" max="14" width="17" hidden="0" customWidth="1"/>
    <x:col min="15" max="15" width="10" hidden="0" customWidth="1"/>
    <x:col min="16" max="16" width="16" hidden="0" customWidth="1"/>
    <x:col min="17" max="17" width="12" hidden="0" customWidth="1"/>
    <x:col min="18" max="18" width="13" hidden="0" customWidth="1"/>
    <x:col min="19" max="19" width="20" hidden="0" customWidth="1"/>
    <x:col min="20" max="20" width="10" hidden="0" customWidth="1"/>
    <x:col min="21" max="21" width="15" hidden="0" customWidth="1"/>
    <x:col min="22" max="22" width="16" hidden="0" customWidth="1"/>
    <x:col min="23" max="23" width="16" hidden="0" customWidth="1"/>
  </x:cols>
  <x:sheetData>
    <x:row r="1" ht="30" customHeight="1">
      <x:c r="A1" s="105" t="str">
        <x:v>20段管段风险值与排序</x:v>
      </x:c>
      <x:c r="B1" s="105" t="str">
        <x:v>20段管段风险值与排序</x:v>
      </x:c>
      <x:c r="C1" s="105" t="str">
        <x:v>20段管段风险值与排序</x:v>
      </x:c>
      <x:c r="D1" s="105" t="str">
        <x:v>20段管段风险值与排序</x:v>
      </x:c>
      <x:c r="E1" s="105" t="str">
        <x:v>20段管段风险值与排序</x:v>
      </x:c>
      <x:c r="F1" s="105" t="str">
        <x:v>20段管段风险值与排序</x:v>
      </x:c>
      <x:c r="G1" s="105" t="str">
        <x:v>20段管段风险值与排序</x:v>
      </x:c>
      <x:c r="H1" s="105" t="str">
        <x:v>20段管段风险值与排序</x:v>
      </x:c>
      <x:c r="I1" s="105" t="str">
        <x:v>20段管段风险值与排序</x:v>
      </x:c>
      <x:c r="J1" s="105" t="str">
        <x:v>20段管段风险值与排序</x:v>
      </x:c>
      <x:c r="K1" s="105" t="str">
        <x:v>20段管段风险值与排序</x:v>
      </x:c>
      <x:c r="L1" s="105" t="str">
        <x:v>20段管段风险值与排序</x:v>
      </x:c>
      <x:c r="M1" s="105" t="str">
        <x:v>20段管段风险值与排序</x:v>
      </x:c>
      <x:c r="N1" s="105" t="str">
        <x:v>20段管段风险值与排序</x:v>
      </x:c>
      <x:c r="O1" s="105" t="str">
        <x:v>20段管段风险值与排序</x:v>
      </x:c>
      <x:c r="P1" s="105" t="str">
        <x:v>20段管段风险值与排序</x:v>
      </x:c>
      <x:c r="Q1" s="105" t="str">
        <x:v>20段管段风险值与排序</x:v>
      </x:c>
      <x:c r="R1" s="105" t="str">
        <x:v>20段管段风险值与排序</x:v>
      </x:c>
      <x:c r="S1" s="105" t="str">
        <x:v>20段管段风险值与排序</x:v>
      </x:c>
      <x:c r="T1" s="105" t="str">
        <x:v>20段管段风险值与排序</x:v>
      </x:c>
      <x:c r="U1" s="105" t="str">
        <x:v>20段管段风险值与排序</x:v>
      </x:c>
      <x:c r="V1" s="105" t="str">
        <x:v>20段管段风险值与排序</x:v>
      </x:c>
      <x:c r="W1" s="105" t="str">
        <x:v>20段管段风险值与排序</x:v>
      </x:c>
    </x:row>
    <x:row r="2" ht="32" customHeight="1">
      <x:c r="A2" s="106" t="str">
        <x:v>管段风险值采用PLL=Σ(场景频率×场景死亡人数)；风险密度为PLL/管段长度。管段IR等级与全线最大IR等级是不同概念。</x:v>
      </x:c>
      <x:c r="B2" s="106" t="str">
        <x:v>管段风险值采用PLL=Σ(场景频率×场景死亡人数)；风险密度为PLL/管段长度。管段IR等级与全线最大IR等级是不同概念。</x:v>
      </x:c>
      <x:c r="C2" s="106" t="str">
        <x:v>管段风险值采用PLL=Σ(场景频率×场景死亡人数)；风险密度为PLL/管段长度。管段IR等级与全线最大IR等级是不同概念。</x:v>
      </x:c>
      <x:c r="D2" s="106" t="str">
        <x:v>管段风险值采用PLL=Σ(场景频率×场景死亡人数)；风险密度为PLL/管段长度。管段IR等级与全线最大IR等级是不同概念。</x:v>
      </x:c>
      <x:c r="E2" s="106" t="str">
        <x:v>管段风险值采用PLL=Σ(场景频率×场景死亡人数)；风险密度为PLL/管段长度。管段IR等级与全线最大IR等级是不同概念。</x:v>
      </x:c>
      <x:c r="F2" s="106" t="str">
        <x:v>管段风险值采用PLL=Σ(场景频率×场景死亡人数)；风险密度为PLL/管段长度。管段IR等级与全线最大IR等级是不同概念。</x:v>
      </x:c>
      <x:c r="G2" s="106" t="str">
        <x:v>管段风险值采用PLL=Σ(场景频率×场景死亡人数)；风险密度为PLL/管段长度。管段IR等级与全线最大IR等级是不同概念。</x:v>
      </x:c>
      <x:c r="H2" s="106" t="str">
        <x:v>管段风险值采用PLL=Σ(场景频率×场景死亡人数)；风险密度为PLL/管段长度。管段IR等级与全线最大IR等级是不同概念。</x:v>
      </x:c>
      <x:c r="I2" s="106" t="str">
        <x:v>管段风险值采用PLL=Σ(场景频率×场景死亡人数)；风险密度为PLL/管段长度。管段IR等级与全线最大IR等级是不同概念。</x:v>
      </x:c>
      <x:c r="J2" s="106" t="str">
        <x:v>管段风险值采用PLL=Σ(场景频率×场景死亡人数)；风险密度为PLL/管段长度。管段IR等级与全线最大IR等级是不同概念。</x:v>
      </x:c>
      <x:c r="K2" s="106" t="str">
        <x:v>管段风险值采用PLL=Σ(场景频率×场景死亡人数)；风险密度为PLL/管段长度。管段IR等级与全线最大IR等级是不同概念。</x:v>
      </x:c>
      <x:c r="L2" s="106" t="str">
        <x:v>管段风险值采用PLL=Σ(场景频率×场景死亡人数)；风险密度为PLL/管段长度。管段IR等级与全线最大IR等级是不同概念。</x:v>
      </x:c>
      <x:c r="M2" s="106" t="str">
        <x:v>管段风险值采用PLL=Σ(场景频率×场景死亡人数)；风险密度为PLL/管段长度。管段IR等级与全线最大IR等级是不同概念。</x:v>
      </x:c>
      <x:c r="N2" s="106" t="str">
        <x:v>管段风险值采用PLL=Σ(场景频率×场景死亡人数)；风险密度为PLL/管段长度。管段IR等级与全线最大IR等级是不同概念。</x:v>
      </x:c>
      <x:c r="O2" s="106" t="str">
        <x:v>管段风险值采用PLL=Σ(场景频率×场景死亡人数)；风险密度为PLL/管段长度。管段IR等级与全线最大IR等级是不同概念。</x:v>
      </x:c>
      <x:c r="P2" s="106" t="str">
        <x:v>管段风险值采用PLL=Σ(场景频率×场景死亡人数)；风险密度为PLL/管段长度。管段IR等级与全线最大IR等级是不同概念。</x:v>
      </x:c>
      <x:c r="Q2" s="106" t="str">
        <x:v>管段风险值采用PLL=Σ(场景频率×场景死亡人数)；风险密度为PLL/管段长度。管段IR等级与全线最大IR等级是不同概念。</x:v>
      </x:c>
      <x:c r="R2" s="106" t="str">
        <x:v>管段风险值采用PLL=Σ(场景频率×场景死亡人数)；风险密度为PLL/管段长度。管段IR等级与全线最大IR等级是不同概念。</x:v>
      </x:c>
      <x:c r="S2" s="106" t="str">
        <x:v>管段风险值采用PLL=Σ(场景频率×场景死亡人数)；风险密度为PLL/管段长度。管段IR等级与全线最大IR等级是不同概念。</x:v>
      </x:c>
      <x:c r="T2" s="106" t="str">
        <x:v>管段风险值采用PLL=Σ(场景频率×场景死亡人数)；风险密度为PLL/管段长度。管段IR等级与全线最大IR等级是不同概念。</x:v>
      </x:c>
      <x:c r="U2" s="106" t="str">
        <x:v>管段风险值采用PLL=Σ(场景频率×场景死亡人数)；风险密度为PLL/管段长度。管段IR等级与全线最大IR等级是不同概念。</x:v>
      </x:c>
      <x:c r="V2" s="106" t="str">
        <x:v>管段风险值采用PLL=Σ(场景频率×场景死亡人数)；风险密度为PLL/管段长度。管段IR等级与全线最大IR等级是不同概念。</x:v>
      </x:c>
      <x:c r="W2" s="106" t="str">
        <x:v>管段风险值采用PLL=Σ(场景频率×场景死亡人数)；风险密度为PLL/管段长度。管段IR等级与全线最大IR等级是不同概念。</x:v>
      </x:c>
    </x:row>
    <x:row r="3">
      <x:c r="A3" s="107"/>
      <x:c r="B3" s="107"/>
      <x:c r="C3" s="107"/>
      <x:c r="D3" s="107"/>
      <x:c r="E3" s="107"/>
      <x:c r="F3" s="107"/>
      <x:c r="G3" s="107"/>
      <x:c r="H3" s="107"/>
      <x:c r="I3" s="107"/>
      <x:c r="J3" s="107"/>
      <x:c r="K3" s="107"/>
      <x:c r="L3" s="107"/>
      <x:c r="M3" s="107"/>
      <x:c r="N3" s="107"/>
      <x:c r="O3" s="107"/>
      <x:c r="P3" s="107"/>
      <x:c r="Q3" s="107"/>
      <x:c r="R3" s="107"/>
      <x:c r="S3" s="107"/>
      <x:c r="T3" s="107"/>
      <x:c r="U3" s="107"/>
      <x:c r="V3" s="107"/>
      <x:c r="W3" s="107"/>
    </x:row>
    <x:row r="4" ht="32" customHeight="1">
      <x:c r="A4" s="122" t="str">
        <x:v>PLL排名</x:v>
      </x:c>
      <x:c r="B4" s="122" t="str">
        <x:v>管段</x:v>
      </x:c>
      <x:c r="C4" s="122" t="str">
        <x:v>起点km</x:v>
      </x:c>
      <x:c r="D4" s="122" t="str">
        <x:v>终点km</x:v>
      </x:c>
      <x:c r="E4" s="122" t="str">
        <x:v>长度km</x:v>
      </x:c>
      <x:c r="F4" s="122" t="str">
        <x:v>PLL/年</x:v>
      </x:c>
      <x:c r="G4" s="122" t="str">
        <x:v>全线PLL占比</x:v>
      </x:c>
      <x:c r="H4" s="122" t="str">
        <x:v>PLL/(km·年)</x:v>
      </x:c>
      <x:c r="I4" s="122" t="str">
        <x:v>密度排名</x:v>
      </x:c>
      <x:c r="J4" s="122" t="str">
        <x:v>管段最大IR/年</x:v>
      </x:c>
      <x:c r="K4" s="122" t="str">
        <x:v>最大IR受体</x:v>
      </x:c>
      <x:c r="L4" s="122" t="str">
        <x:v>IR排名</x:v>
      </x:c>
      <x:c r="M4" s="122" t="str">
        <x:v>IR等级</x:v>
      </x:c>
      <x:c r="N4" s="122" t="str">
        <x:v>最大条件死亡人数</x:v>
      </x:c>
      <x:c r="O4" s="122" t="str">
        <x:v>后果排名</x:v>
      </x:c>
      <x:c r="P4" s="122" t="str">
        <x:v>起始失效频率/年</x:v>
      </x:c>
      <x:c r="Q4" s="122" t="str">
        <x:v>主导分支</x:v>
      </x:c>
      <x:c r="R4" s="122" t="str">
        <x:v>主导孔径</x:v>
      </x:c>
      <x:c r="S4" s="122" t="str">
        <x:v>主导泄漏点</x:v>
      </x:c>
      <x:c r="T4" s="122" t="str">
        <x:v>气象</x:v>
      </x:c>
      <x:c r="U4" s="122" t="str">
        <x:v>释放率kg/s</x:v>
      </x:c>
      <x:c r="V4" s="122" t="str">
        <x:v>场景死亡人数</x:v>
      </x:c>
      <x:c r="W4" s="122" t="str">
        <x:v>场景PLL贡献/年</x:v>
      </x:c>
    </x:row>
    <x:row r="5" ht="34" customHeight="1">
      <x:c r="A5" s="123" t="n">
        <x:v>1</x:v>
      </x:c>
      <x:c r="B5" s="123" t="str">
        <x:v>SEG-011</x:v>
      </x:c>
      <x:c r="C5" s="123" t="n">
        <x:v>4.1</x:v>
      </x:c>
      <x:c r="D5" s="123" t="n">
        <x:v>4.45</x:v>
      </x:c>
      <x:c r="E5" s="123" t="n">
        <x:v>0.35</x:v>
      </x:c>
      <x:c r="F5" s="124" t="n">
        <x:v>0.004734861847482358</x:v>
      </x:c>
      <x:c r="G5" s="138" t="n">
        <x:v>0.10550958773553654</x:v>
      </x:c>
      <x:c r="H5" s="124" t="n">
        <x:v>0.013528176707092452</x:v>
      </x:c>
      <x:c r="I5" s="123" t="n">
        <x:v>1</x:v>
      </x:c>
      <x:c r="J5" s="124" t="n">
        <x:v>0.000004532695374931127</x:v>
      </x:c>
      <x:c r="K5" s="123" t="str">
        <x:v>POP-002</x:v>
      </x:c>
      <x:c r="L5" s="123" t="n">
        <x:v>2</x:v>
      </x:c>
      <x:c r="M5" s="123" t="str">
        <x:v>低风险（可接受）</x:v>
      </x:c>
      <x:c r="N5" s="123" t="n">
        <x:v>2450.000000003137</x:v>
      </x:c>
      <x:c r="O5" s="123" t="n">
        <x:v>9</x:v>
      </x:c>
      <x:c r="P5" s="124" t="n">
        <x:v>0.00015575</x:v>
      </x:c>
      <x:c r="Q5" s="123" t="str">
        <x:v>jet_fire</x:v>
      </x:c>
      <x:c r="R5" s="123" t="str">
        <x:v>rupture</x:v>
      </x:c>
      <x:c r="S5" s="123" t="str">
        <x:v>SEG-011-LP-0007</x:v>
      </x:c>
      <x:c r="T5" s="123" t="str">
        <x:v>W01</x:v>
      </x:c>
      <x:c r="U5" s="139" t="n">
        <x:v>22654.18132788052</x:v>
      </x:c>
      <x:c r="V5" s="140" t="n">
        <x:v>2450.000000003137</x:v>
      </x:c>
      <x:c r="W5" s="124" t="n">
        <x:v>0.00011622555000014877</x:v>
      </x:c>
    </x:row>
    <x:row r="6" ht="34" customHeight="1">
      <x:c r="A6" s="125" t="n">
        <x:v>2</x:v>
      </x:c>
      <x:c r="B6" s="125" t="str">
        <x:v>SEG-012</x:v>
      </x:c>
      <x:c r="C6" s="125" t="n">
        <x:v>4.45</x:v>
      </x:c>
      <x:c r="D6" s="125" t="n">
        <x:v>4.8</x:v>
      </x:c>
      <x:c r="E6" s="125" t="n">
        <x:v>0.35</x:v>
      </x:c>
      <x:c r="F6" s="126" t="n">
        <x:v>0.004598550296712593</x:v>
      </x:c>
      <x:c r="G6" s="141" t="n">
        <x:v>0.10247208083700751</x:v>
      </x:c>
      <x:c r="H6" s="126" t="n">
        <x:v>0.01313871513346455</x:v>
      </x:c>
      <x:c r="I6" s="125" t="n">
        <x:v>2</x:v>
      </x:c>
      <x:c r="J6" s="126" t="n">
        <x:v>0.0000039787224787031755</x:v>
      </x:c>
      <x:c r="K6" s="125" t="str">
        <x:v>POP-003</x:v>
      </x:c>
      <x:c r="L6" s="125" t="n">
        <x:v>5</x:v>
      </x:c>
      <x:c r="M6" s="125" t="str">
        <x:v>低风险（可接受）</x:v>
      </x:c>
      <x:c r="N6" s="125" t="n">
        <x:v>2335.776924490702</x:v>
      </x:c>
      <x:c r="O6" s="125" t="n">
        <x:v>11</x:v>
      </x:c>
      <x:c r="P6" s="126" t="n">
        <x:v>0.00015575</x:v>
      </x:c>
      <x:c r="Q6" s="125" t="str">
        <x:v>jet_fire</x:v>
      </x:c>
      <x:c r="R6" s="125" t="str">
        <x:v>rupture</x:v>
      </x:c>
      <x:c r="S6" s="125" t="str">
        <x:v>SEG-012-LP-0001</x:v>
      </x:c>
      <x:c r="T6" s="125" t="str">
        <x:v>W01</x:v>
      </x:c>
      <x:c r="U6" s="142" t="n">
        <x:v>22654.18132788052</x:v>
      </x:c>
      <x:c r="V6" s="143" t="n">
        <x:v>2335.776924490702</x:v>
      </x:c>
      <x:c r="W6" s="126" t="n">
        <x:v>0.00011080692152091438</x:v>
      </x:c>
    </x:row>
    <x:row r="7" ht="34" customHeight="1">
      <x:c r="A7" s="125" t="n">
        <x:v>3</x:v>
      </x:c>
      <x:c r="B7" s="125" t="str">
        <x:v>SEG-013</x:v>
      </x:c>
      <x:c r="C7" s="125" t="n">
        <x:v>4.8</x:v>
      </x:c>
      <x:c r="D7" s="125" t="n">
        <x:v>5.2</x:v>
      </x:c>
      <x:c r="E7" s="125" t="n">
        <x:v>0.4</x:v>
      </x:c>
      <x:c r="F7" s="126" t="n">
        <x:v>0.004104612695205327</x:v>
      </x:c>
      <x:c r="G7" s="141" t="n">
        <x:v>0.09146539164927076</x:v>
      </x:c>
      <x:c r="H7" s="126" t="n">
        <x:v>0.010261531738013316</x:v>
      </x:c>
      <x:c r="I7" s="125" t="n">
        <x:v>4</x:v>
      </x:c>
      <x:c r="J7" s="126" t="n">
        <x:v>0.000003326413687355696</x:v>
      </x:c>
      <x:c r="K7" s="125" t="str">
        <x:v>POP-004</x:v>
      </x:c>
      <x:c r="L7" s="125" t="n">
        <x:v>8</x:v>
      </x:c>
      <x:c r="M7" s="125" t="str">
        <x:v>低风险（可接受）</x:v>
      </x:c>
      <x:c r="N7" s="125" t="n">
        <x:v>2330.438943231432</x:v>
      </x:c>
      <x:c r="O7" s="125" t="n">
        <x:v>12</x:v>
      </x:c>
      <x:c r="P7" s="126" t="n">
        <x:v>0.00014800000000000002</x:v>
      </x:c>
      <x:c r="Q7" s="125" t="str">
        <x:v>jet_fire</x:v>
      </x:c>
      <x:c r="R7" s="125" t="str">
        <x:v>rupture</x:v>
      </x:c>
      <x:c r="S7" s="125" t="str">
        <x:v>SEG-013-LP-0001</x:v>
      </x:c>
      <x:c r="T7" s="125" t="str">
        <x:v>W01</x:v>
      </x:c>
      <x:c r="U7" s="142" t="n">
        <x:v>22274.449906397924</x:v>
      </x:c>
      <x:c r="V7" s="143" t="n">
        <x:v>2330.438943231432</x:v>
      </x:c>
      <x:c r="W7" s="126" t="n">
        <x:v>0.00008997824759816559</x:v>
      </x:c>
    </x:row>
    <x:row r="8" ht="34" customHeight="1">
      <x:c r="A8" s="125" t="n">
        <x:v>4</x:v>
      </x:c>
      <x:c r="B8" s="125" t="str">
        <x:v>SEG-014</x:v>
      </x:c>
      <x:c r="C8" s="125" t="n">
        <x:v>5.2</x:v>
      </x:c>
      <x:c r="D8" s="125" t="n">
        <x:v>5.6</x:v>
      </x:c>
      <x:c r="E8" s="125" t="n">
        <x:v>0.4</x:v>
      </x:c>
      <x:c r="F8" s="126" t="n">
        <x:v>0.0040628170159092165</x:v>
      </x:c>
      <x:c r="G8" s="141" t="n">
        <x:v>0.09053403503661601</x:v>
      </x:c>
      <x:c r="H8" s="126" t="n">
        <x:v>0.01015704253977304</x:v>
      </x:c>
      <x:c r="I8" s="125" t="n">
        <x:v>5</x:v>
      </x:c>
      <x:c r="J8" s="126" t="n">
        <x:v>0.000003542612233340162</x:v>
      </x:c>
      <x:c r="K8" s="125" t="str">
        <x:v>POP-004</x:v>
      </x:c>
      <x:c r="L8" s="125" t="n">
        <x:v>7</x:v>
      </x:c>
      <x:c r="M8" s="125" t="str">
        <x:v>低风险（可接受）</x:v>
      </x:c>
      <x:c r="N8" s="125" t="n">
        <x:v>2330.0444021126505</x:v>
      </x:c>
      <x:c r="O8" s="125" t="n">
        <x:v>13</x:v>
      </x:c>
      <x:c r="P8" s="126" t="n">
        <x:v>0.00014800000000000002</x:v>
      </x:c>
      <x:c r="Q8" s="125" t="str">
        <x:v>jet_fire</x:v>
      </x:c>
      <x:c r="R8" s="125" t="str">
        <x:v>rupture</x:v>
      </x:c>
      <x:c r="S8" s="125" t="str">
        <x:v>SEG-014-LP-0001</x:v>
      </x:c>
      <x:c r="T8" s="125" t="str">
        <x:v>W01</x:v>
      </x:c>
      <x:c r="U8" s="142" t="n">
        <x:v>22274.449906397924</x:v>
      </x:c>
      <x:c r="V8" s="143" t="n">
        <x:v>2330.0444021126505</x:v>
      </x:c>
      <x:c r="W8" s="126" t="n">
        <x:v>0.00008996301436556944</x:v>
      </x:c>
    </x:row>
    <x:row r="9" ht="34" customHeight="1">
      <x:c r="A9" s="125" t="n">
        <x:v>5</x:v>
      </x:c>
      <x:c r="B9" s="125" t="str">
        <x:v>SEG-015</x:v>
      </x:c>
      <x:c r="C9" s="125" t="n">
        <x:v>5.6</x:v>
      </x:c>
      <x:c r="D9" s="125" t="n">
        <x:v>6.05</x:v>
      </x:c>
      <x:c r="E9" s="125" t="n">
        <x:v>0.45</x:v>
      </x:c>
      <x:c r="F9" s="126" t="n">
        <x:v>0.003909503153788628</x:v>
      </x:c>
      <x:c r="G9" s="141" t="n">
        <x:v>0.08711765607825477</x:v>
      </x:c>
      <x:c r="H9" s="126" t="n">
        <x:v>0.00868778478619695</x:v>
      </x:c>
      <x:c r="I9" s="125" t="n">
        <x:v>8</x:v>
      </x:c>
      <x:c r="J9" s="126" t="n">
        <x:v>0.0000042846471514795884</x:v>
      </x:c>
      <x:c r="K9" s="125" t="str">
        <x:v>POP-005</x:v>
      </x:c>
      <x:c r="L9" s="125" t="n">
        <x:v>3</x:v>
      </x:c>
      <x:c r="M9" s="125" t="str">
        <x:v>低风险（可接受）</x:v>
      </x:c>
      <x:c r="N9" s="125" t="n">
        <x:v>2049.3941005151064</x:v>
      </x:c>
      <x:c r="O9" s="125" t="n">
        <x:v>14</x:v>
      </x:c>
      <x:c r="P9" s="126" t="n">
        <x:v>0.00016649999999999998</x:v>
      </x:c>
      <x:c r="Q9" s="125" t="str">
        <x:v>jet_fire</x:v>
      </x:c>
      <x:c r="R9" s="125" t="str">
        <x:v>rupture</x:v>
      </x:c>
      <x:c r="S9" s="125" t="str">
        <x:v>SEG-015-LP-0001</x:v>
      </x:c>
      <x:c r="T9" s="125" t="str">
        <x:v>W01</x:v>
      </x:c>
      <x:c r="U9" s="142" t="n">
        <x:v>21949.208060984623</x:v>
      </x:c>
      <x:c r="V9" s="143" t="n">
        <x:v>2049.3941005151064</x:v>
      </x:c>
      <x:c r="W9" s="126" t="n">
        <x:v>0.00007912710622088824</x:v>
      </x:c>
    </x:row>
    <x:row r="10" ht="34" customHeight="1">
      <x:c r="A10" s="125" t="n">
        <x:v>6</x:v>
      </x:c>
      <x:c r="B10" s="125" t="str">
        <x:v>SEG-008</x:v>
      </x:c>
      <x:c r="C10" s="125" t="n">
        <x:v>3.1</x:v>
      </x:c>
      <x:c r="D10" s="125" t="n">
        <x:v>3.5</x:v>
      </x:c>
      <x:c r="E10" s="125" t="n">
        <x:v>0.4</x:v>
      </x:c>
      <x:c r="F10" s="126" t="n">
        <x:v>0.0037298446400458357</x:v>
      </x:c>
      <x:c r="G10" s="141" t="n">
        <x:v>0.08311422444101271</x:v>
      </x:c>
      <x:c r="H10" s="126" t="n">
        <x:v>0.009324611600114588</x:v>
      </x:c>
      <x:c r="I10" s="125" t="n">
        <x:v>7</x:v>
      </x:c>
      <x:c r="J10" s="126" t="n">
        <x:v>0.000003991085159526052</x:v>
      </x:c>
      <x:c r="K10" s="125" t="str">
        <x:v>POP-002</x:v>
      </x:c>
      <x:c r="L10" s="125" t="n">
        <x:v>4</x:v>
      </x:c>
      <x:c r="M10" s="125" t="str">
        <x:v>低风险（可接受）</x:v>
      </x:c>
      <x:c r="N10" s="125" t="n">
        <x:v>2035</x:v>
      </x:c>
      <x:c r="O10" s="125" t="n">
        <x:v>17</x:v>
      </x:c>
      <x:c r="P10" s="126" t="n">
        <x:v>0.00018640000000000003</x:v>
      </x:c>
      <x:c r="Q10" s="125" t="str">
        <x:v>jet_fire</x:v>
      </x:c>
      <x:c r="R10" s="125" t="str">
        <x:v>rupture</x:v>
      </x:c>
      <x:c r="S10" s="125" t="str">
        <x:v>SEG-008-LP-0008</x:v>
      </x:c>
      <x:c r="T10" s="125" t="str">
        <x:v>W01</x:v>
      </x:c>
      <x:c r="U10" s="142" t="n">
        <x:v>22274.449906397924</x:v>
      </x:c>
      <x:c r="V10" s="143" t="n">
        <x:v>1200.507608397012</x:v>
      </x:c>
      <x:c r="W10" s="126" t="n">
        <x:v>0.00006145638548905985</x:v>
      </x:c>
    </x:row>
    <x:row r="11" ht="34" customHeight="1">
      <x:c r="A11" s="125" t="n">
        <x:v>7</x:v>
      </x:c>
      <x:c r="B11" s="125" t="str">
        <x:v>SEG-010</x:v>
      </x:c>
      <x:c r="C11" s="125" t="n">
        <x:v>3.8</x:v>
      </x:c>
      <x:c r="D11" s="125" t="n">
        <x:v>4.1</x:v>
      </x:c>
      <x:c r="E11" s="125" t="n">
        <x:v>0.3</x:v>
      </x:c>
      <x:c r="F11" s="126" t="n">
        <x:v>0.0033743240441982156</x:v>
      </x:c>
      <x:c r="G11" s="141" t="n">
        <x:v>0.07519195918646888</x:v>
      </x:c>
      <x:c r="H11" s="126" t="n">
        <x:v>0.011247746813994052</x:v>
      </x:c>
      <x:c r="I11" s="125" t="n">
        <x:v>3</x:v>
      </x:c>
      <x:c r="J11" s="126" t="n">
        <x:v>0.000003167652898960709</x:v>
      </x:c>
      <x:c r="K11" s="125" t="str">
        <x:v>POP-002</x:v>
      </x:c>
      <x:c r="L11" s="125" t="n">
        <x:v>9</x:v>
      </x:c>
      <x:c r="M11" s="125" t="str">
        <x:v>低风险（可接受）</x:v>
      </x:c>
      <x:c r="N11" s="125" t="n">
        <x:v>2030</x:v>
      </x:c>
      <x:c r="O11" s="125" t="n">
        <x:v>18</x:v>
      </x:c>
      <x:c r="P11" s="126" t="n">
        <x:v>0.0001335</x:v>
      </x:c>
      <x:c r="Q11" s="125" t="str">
        <x:v>jet_fire</x:v>
      </x:c>
      <x:c r="R11" s="125" t="str">
        <x:v>rupture</x:v>
      </x:c>
      <x:c r="S11" s="125" t="str">
        <x:v>SEG-010-LP-0006</x:v>
      </x:c>
      <x:c r="T11" s="125" t="str">
        <x:v>W01</x:v>
      </x:c>
      <x:c r="U11" s="142" t="n">
        <x:v>23106.87162370006</x:v>
      </x:c>
      <x:c r="V11" s="143" t="n">
        <x:v>2013.726992507381</x:v>
      </x:c>
      <x:c r="W11" s="126" t="n">
        <x:v>0.00009552919479755764</x:v>
      </x:c>
    </x:row>
    <x:row r="12" ht="34" customHeight="1">
      <x:c r="A12" s="125" t="n">
        <x:v>8</x:v>
      </x:c>
      <x:c r="B12" s="125" t="str">
        <x:v>SEG-007</x:v>
      </x:c>
      <x:c r="C12" s="125" t="n">
        <x:v>2.7</x:v>
      </x:c>
      <x:c r="D12" s="125" t="n">
        <x:v>3.1</x:v>
      </x:c>
      <x:c r="E12" s="125" t="n">
        <x:v>0.4</x:v>
      </x:c>
      <x:c r="F12" s="126" t="n">
        <x:v>0.0033236374407622613</x:v>
      </x:c>
      <x:c r="G12" s="141" t="n">
        <x:v>0.07406248111413911</x:v>
      </x:c>
      <x:c r="H12" s="126" t="n">
        <x:v>0.008309093601905652</x:v>
      </x:c>
      <x:c r="I12" s="125" t="n">
        <x:v>9</x:v>
      </x:c>
      <x:c r="J12" s="126" t="n">
        <x:v>0.000004742782002380758</x:v>
      </x:c>
      <x:c r="K12" s="125" t="str">
        <x:v>POP-001</x:v>
      </x:c>
      <x:c r="L12" s="125" t="n">
        <x:v>1</x:v>
      </x:c>
      <x:c r="M12" s="125" t="str">
        <x:v>低风险（可接受）</x:v>
      </x:c>
      <x:c r="N12" s="125" t="n">
        <x:v>2035</x:v>
      </x:c>
      <x:c r="O12" s="125" t="n">
        <x:v>16</x:v>
      </x:c>
      <x:c r="P12" s="126" t="n">
        <x:v>0.00018640000000000003</x:v>
      </x:c>
      <x:c r="Q12" s="125" t="str">
        <x:v>jet_fire</x:v>
      </x:c>
      <x:c r="R12" s="125" t="str">
        <x:v>rupture</x:v>
      </x:c>
      <x:c r="S12" s="125" t="str">
        <x:v>SEG-007-LP-0008</x:v>
      </x:c>
      <x:c r="T12" s="125" t="str">
        <x:v>W01</x:v>
      </x:c>
      <x:c r="U12" s="142" t="n">
        <x:v>22274.449906397924</x:v>
      </x:c>
      <x:c r="V12" s="143" t="n">
        <x:v>1200.0180364732641</x:v>
      </x:c>
      <x:c r="W12" s="126" t="n">
        <x:v>0.00006143132332313934</x:v>
      </x:c>
    </x:row>
    <x:row r="13" ht="34" customHeight="1">
      <x:c r="A13" s="125" t="n">
        <x:v>9</x:v>
      </x:c>
      <x:c r="B13" s="125" t="str">
        <x:v>SEG-009</x:v>
      </x:c>
      <x:c r="C13" s="125" t="n">
        <x:v>3.5</x:v>
      </x:c>
      <x:c r="D13" s="125" t="n">
        <x:v>3.8</x:v>
      </x:c>
      <x:c r="E13" s="125" t="n">
        <x:v>0.3</x:v>
      </x:c>
      <x:c r="F13" s="126" t="n">
        <x:v>0.002884312446771964</x:v>
      </x:c>
      <x:c r="G13" s="141" t="n">
        <x:v>0.06427275535424595</x:v>
      </x:c>
      <x:c r="H13" s="126" t="n">
        <x:v>0.009614374822573215</x:v>
      </x:c>
      <x:c r="I13" s="125" t="n">
        <x:v>6</x:v>
      </x:c>
      <x:c r="J13" s="126" t="n">
        <x:v>0.0000030653018437153622</x:v>
      </x:c>
      <x:c r="K13" s="125" t="str">
        <x:v>POP-002</x:v>
      </x:c>
      <x:c r="L13" s="125" t="n">
        <x:v>12</x:v>
      </x:c>
      <x:c r="M13" s="125" t="str">
        <x:v>低风险（可接受）</x:v>
      </x:c>
      <x:c r="N13" s="125" t="n">
        <x:v>1580</x:v>
      </x:c>
      <x:c r="O13" s="125" t="n">
        <x:v>19</x:v>
      </x:c>
      <x:c r="P13" s="126" t="n">
        <x:v>0.0001335</x:v>
      </x:c>
      <x:c r="Q13" s="125" t="str">
        <x:v>flash_fire</x:v>
      </x:c>
      <x:c r="R13" s="125" t="str">
        <x:v>rupture</x:v>
      </x:c>
      <x:c r="S13" s="125" t="str">
        <x:v>SEG-009-LP-0001</x:v>
      </x:c>
      <x:c r="T13" s="125" t="str">
        <x:v>W04</x:v>
      </x:c>
      <x:c r="U13" s="142" t="n">
        <x:v>23106.87162370006</x:v>
      </x:c>
      <x:c r="V13" s="143" t="n">
        <x:v>1580</x:v>
      </x:c>
      <x:c r="W13" s="126" t="n">
        <x:v>0.0000702240969916842</x:v>
      </x:c>
    </x:row>
    <x:row r="14" ht="34" customHeight="1">
      <x:c r="A14" s="125" t="n">
        <x:v>10</x:v>
      </x:c>
      <x:c r="B14" s="125" t="str">
        <x:v>SEG-016</x:v>
      </x:c>
      <x:c r="C14" s="125" t="n">
        <x:v>6.05</x:v>
      </x:c>
      <x:c r="D14" s="125" t="n">
        <x:v>6.5</x:v>
      </x:c>
      <x:c r="E14" s="125" t="n">
        <x:v>0.45</x:v>
      </x:c>
      <x:c r="F14" s="126" t="n">
        <x:v>0.0025233858725571775</x:v>
      </x:c>
      <x:c r="G14" s="141" t="n">
        <x:v>0.05623002564536324</x:v>
      </x:c>
      <x:c r="H14" s="126" t="n">
        <x:v>0.005607524161238172</x:v>
      </x:c>
      <x:c r="I14" s="125" t="n">
        <x:v>10</x:v>
      </x:c>
      <x:c r="J14" s="126" t="n">
        <x:v>0.0000036771026753309137</x:v>
      </x:c>
      <x:c r="K14" s="125" t="str">
        <x:v>POP-004</x:v>
      </x:c>
      <x:c r="L14" s="125" t="n">
        <x:v>6</x:v>
      </x:c>
      <x:c r="M14" s="125" t="str">
        <x:v>低风险（可接受）</x:v>
      </x:c>
      <x:c r="N14" s="125" t="n">
        <x:v>1580</x:v>
      </x:c>
      <x:c r="O14" s="125" t="n">
        <x:v>20</x:v>
      </x:c>
      <x:c r="P14" s="126" t="n">
        <x:v>0.00016649999999999998</x:v>
      </x:c>
      <x:c r="Q14" s="125" t="str">
        <x:v>flash_fire</x:v>
      </x:c>
      <x:c r="R14" s="125" t="str">
        <x:v>rupture</x:v>
      </x:c>
      <x:c r="S14" s="125" t="str">
        <x:v>SEG-016-LP-0001</x:v>
      </x:c>
      <x:c r="T14" s="125" t="str">
        <x:v>W02</x:v>
      </x:c>
      <x:c r="U14" s="142" t="n">
        <x:v>21949.208060984623</x:v>
      </x:c>
      <x:c r="V14" s="143" t="n">
        <x:v>1580</x:v>
      </x:c>
      <x:c r="W14" s="126" t="n">
        <x:v>0.0000571545012510577</x:v>
      </x:c>
    </x:row>
    <x:row r="15" ht="34" customHeight="1">
      <x:c r="A15" s="125" t="n">
        <x:v>11</x:v>
      </x:c>
      <x:c r="B15" s="125" t="str">
        <x:v>SEG-006</x:v>
      </x:c>
      <x:c r="C15" s="125" t="n">
        <x:v>2.35</x:v>
      </x:c>
      <x:c r="D15" s="125" t="n">
        <x:v>2.7</x:v>
      </x:c>
      <x:c r="E15" s="125" t="n">
        <x:v>0.35</x:v>
      </x:c>
      <x:c r="F15" s="126" t="n">
        <x:v>0.0018063310648380269</x:v>
      </x:c>
      <x:c r="G15" s="141" t="n">
        <x:v>0.04025149035051399</x:v>
      </x:c>
      <x:c r="H15" s="126" t="n">
        <x:v>0.00516094589953722</x:v>
      </x:c>
      <x:c r="I15" s="125" t="n">
        <x:v>11</x:v>
      </x:c>
      <x:c r="J15" s="126" t="n">
        <x:v>0.0000030656985285710555</x:v>
      </x:c>
      <x:c r="K15" s="125" t="str">
        <x:v>POP-001</x:v>
      </x:c>
      <x:c r="L15" s="125" t="n">
        <x:v>11</x:v>
      </x:c>
      <x:c r="M15" s="125" t="str">
        <x:v>低风险（可接受）</x:v>
      </x:c>
      <x:c r="N15" s="125" t="n">
        <x:v>2035</x:v>
      </x:c>
      <x:c r="O15" s="125" t="n">
        <x:v>15</x:v>
      </x:c>
      <x:c r="P15" s="126" t="n">
        <x:v>0.0001631</x:v>
      </x:c>
      <x:c r="Q15" s="125" t="str">
        <x:v>flash_fire</x:v>
      </x:c>
      <x:c r="R15" s="125" t="str">
        <x:v>rupture</x:v>
      </x:c>
      <x:c r="S15" s="125" t="str">
        <x:v>SEG-006-LP-0001</x:v>
      </x:c>
      <x:c r="T15" s="125" t="str">
        <x:v>W04</x:v>
      </x:c>
      <x:c r="U15" s="142" t="n">
        <x:v>22654.18132788052</x:v>
      </x:c>
      <x:c r="V15" s="143" t="n">
        <x:v>2035</x:v>
      </x:c>
      <x:c r="W15" s="126" t="n">
        <x:v>0.00005657741825170741</x:v>
      </x:c>
    </x:row>
    <x:row r="16" ht="34" customHeight="1">
      <x:c r="A16" s="125" t="n">
        <x:v>12</x:v>
      </x:c>
      <x:c r="B16" s="125" t="str">
        <x:v>SEG-018</x:v>
      </x:c>
      <x:c r="C16" s="125" t="n">
        <x:v>6.85</x:v>
      </x:c>
      <x:c r="D16" s="125" t="n">
        <x:v>7.2</x:v>
      </x:c>
      <x:c r="E16" s="125" t="n">
        <x:v>0.35</x:v>
      </x:c>
      <x:c r="F16" s="126" t="n">
        <x:v>0.0013644056271998664</x:v>
      </x:c>
      <x:c r="G16" s="141" t="n">
        <x:v>0.03040381744325867</x:v>
      </x:c>
      <x:c r="H16" s="126" t="n">
        <x:v>0.0038983017919996185</x:v>
      </x:c>
      <x:c r="I16" s="125" t="n">
        <x:v>12</x:v>
      </x:c>
      <x:c r="J16" s="126" t="n">
        <x:v>0.000002300838667294112</x:v>
      </x:c>
      <x:c r="K16" s="125" t="str">
        <x:v>POP-004</x:v>
      </x:c>
      <x:c r="L16" s="125" t="n">
        <x:v>16</x:v>
      </x:c>
      <x:c r="M16" s="125" t="str">
        <x:v>低风险（可接受）</x:v>
      </x:c>
      <x:c r="N16" s="125" t="n">
        <x:v>2460</x:v>
      </x:c>
      <x:c r="O16" s="125" t="n">
        <x:v>2</x:v>
      </x:c>
      <x:c r="P16" s="126" t="n">
        <x:v>0.00012285</x:v>
      </x:c>
      <x:c r="Q16" s="125" t="str">
        <x:v>jet_fire</x:v>
      </x:c>
      <x:c r="R16" s="125" t="str">
        <x:v>rupture</x:v>
      </x:c>
      <x:c r="S16" s="125" t="str">
        <x:v>SEG-018-LP-0001</x:v>
      </x:c>
      <x:c r="T16" s="125" t="str">
        <x:v>W01</x:v>
      </x:c>
      <x:c r="U16" s="142" t="n">
        <x:v>22654.18132788052</x:v>
      </x:c>
      <x:c r="V16" s="143" t="n">
        <x:v>1255.000698374837</x:v>
      </x:c>
      <x:c r="W16" s="126" t="n">
        <x:v>0.00004781176160598616</x:v>
      </x:c>
    </x:row>
    <x:row r="17" ht="34" customHeight="1">
      <x:c r="A17" s="125" t="n">
        <x:v>13</x:v>
      </x:c>
      <x:c r="B17" s="125" t="str">
        <x:v>SEG-017</x:v>
      </x:c>
      <x:c r="C17" s="125" t="n">
        <x:v>6.5</x:v>
      </x:c>
      <x:c r="D17" s="125" t="n">
        <x:v>6.85</x:v>
      </x:c>
      <x:c r="E17" s="125" t="n">
        <x:v>0.35</x:v>
      </x:c>
      <x:c r="F17" s="126" t="n">
        <x:v>0.0013632974355599903</x:v>
      </x:c>
      <x:c r="G17" s="141" t="n">
        <x:v>0.030379122986097795</x:v>
      </x:c>
      <x:c r="H17" s="126" t="n">
        <x:v>0.0038951355301714012</x:v>
      </x:c>
      <x:c r="I17" s="125" t="n">
        <x:v>13</x:v>
      </x:c>
      <x:c r="J17" s="126" t="n">
        <x:v>0.000002300838667294112</x:v>
      </x:c>
      <x:c r="K17" s="125" t="str">
        <x:v>POP-004</x:v>
      </x:c>
      <x:c r="L17" s="125" t="n">
        <x:v>15</x:v>
      </x:c>
      <x:c r="M17" s="125" t="str">
        <x:v>低风险（可接受）</x:v>
      </x:c>
      <x:c r="N17" s="125" t="n">
        <x:v>2460</x:v>
      </x:c>
      <x:c r="O17" s="125" t="n">
        <x:v>1</x:v>
      </x:c>
      <x:c r="P17" s="126" t="n">
        <x:v>0.00012285</x:v>
      </x:c>
      <x:c r="Q17" s="125" t="str">
        <x:v>jet_fire</x:v>
      </x:c>
      <x:c r="R17" s="125" t="str">
        <x:v>rupture</x:v>
      </x:c>
      <x:c r="S17" s="125" t="str">
        <x:v>SEG-017-LP-0001</x:v>
      </x:c>
      <x:c r="T17" s="125" t="str">
        <x:v>W01</x:v>
      </x:c>
      <x:c r="U17" s="142" t="n">
        <x:v>22654.18132788052</x:v>
      </x:c>
      <x:c r="V17" s="143" t="n">
        <x:v>1255.4663387067772</x:v>
      </x:c>
      <x:c r="W17" s="126" t="n">
        <x:v>0.000047829501105712086</x:v>
      </x:c>
    </x:row>
    <x:row r="18" ht="34" customHeight="1">
      <x:c r="A18" s="125" t="n">
        <x:v>14</x:v>
      </x:c>
      <x:c r="B18" s="125" t="str">
        <x:v>SEG-005</x:v>
      </x:c>
      <x:c r="C18" s="125" t="n">
        <x:v>2</x:v>
      </x:c>
      <x:c r="D18" s="125" t="n">
        <x:v>2.35</x:v>
      </x:c>
      <x:c r="E18" s="125" t="n">
        <x:v>0.35</x:v>
      </x:c>
      <x:c r="F18" s="126" t="n">
        <x:v>0.0013531508564411216</x:v>
      </x:c>
      <x:c r="G18" s="141" t="n">
        <x:v>0.030153021060795142</x:v>
      </x:c>
      <x:c r="H18" s="126" t="n">
        <x:v>0.0038661453041174904</x:v>
      </x:c>
      <x:c r="I18" s="125" t="n">
        <x:v>14</x:v>
      </x:c>
      <x:c r="J18" s="126" t="n">
        <x:v>0.0000031252108556553</x:v>
      </x:c>
      <x:c r="K18" s="125" t="str">
        <x:v>POP-001</x:v>
      </x:c>
      <x:c r="L18" s="125" t="n">
        <x:v>10</x:v>
      </x:c>
      <x:c r="M18" s="125" t="str">
        <x:v>低风险（可接受）</x:v>
      </x:c>
      <x:c r="N18" s="125" t="n">
        <x:v>2455</x:v>
      </x:c>
      <x:c r="O18" s="125" t="n">
        <x:v>8</x:v>
      </x:c>
      <x:c r="P18" s="126" t="n">
        <x:v>0.0001631</x:v>
      </x:c>
      <x:c r="Q18" s="125" t="str">
        <x:v>flash_fire</x:v>
      </x:c>
      <x:c r="R18" s="125" t="str">
        <x:v>rupture</x:v>
      </x:c>
      <x:c r="S18" s="125" t="str">
        <x:v>SEG-005-LP-0001</x:v>
      </x:c>
      <x:c r="T18" s="125" t="str">
        <x:v>W04</x:v>
      </x:c>
      <x:c r="U18" s="142" t="n">
        <x:v>22654.18132788052</x:v>
      </x:c>
      <x:c r="V18" s="143" t="n">
        <x:v>2455</x:v>
      </x:c>
      <x:c r="W18" s="126" t="n">
        <x:v>0.00006825433012675268</x:v>
      </x:c>
    </x:row>
    <x:row r="19" ht="34" customHeight="1">
      <x:c r="A19" s="125" t="n">
        <x:v>15</x:v>
      </x:c>
      <x:c r="B19" s="125" t="str">
        <x:v>SEG-019</x:v>
      </x:c>
      <x:c r="C19" s="125" t="n">
        <x:v>7.2</x:v>
      </x:c>
      <x:c r="D19" s="125" t="n">
        <x:v>7.6</x:v>
      </x:c>
      <x:c r="E19" s="125" t="n">
        <x:v>0.4</x:v>
      </x:c>
      <x:c r="F19" s="126" t="n">
        <x:v>0.0005348230703259198</x:v>
      </x:c>
      <x:c r="G19" s="141" t="n">
        <x:v>0.011917763068746416</x:v>
      </x:c>
      <x:c r="H19" s="126" t="n">
        <x:v>0.0013370576758147995</x:v>
      </x:c>
      <x:c r="I19" s="125" t="n">
        <x:v>15</x:v>
      </x:c>
      <x:c r="J19" s="126" t="n">
        <x:v>0.000002577605143738673</x:v>
      </x:c>
      <x:c r="K19" s="125" t="str">
        <x:v>POP-005</x:v>
      </x:c>
      <x:c r="L19" s="125" t="n">
        <x:v>13</x:v>
      </x:c>
      <x:c r="M19" s="125" t="str">
        <x:v>低风险（可接受）</x:v>
      </x:c>
      <x:c r="N19" s="125" t="n">
        <x:v>2460</x:v>
      </x:c>
      <x:c r="O19" s="125" t="n">
        <x:v>3</x:v>
      </x:c>
      <x:c r="P19" s="126" t="n">
        <x:v>0.0001404</x:v>
      </x:c>
      <x:c r="Q19" s="125" t="str">
        <x:v>jet_fire</x:v>
      </x:c>
      <x:c r="R19" s="125" t="str">
        <x:v>rupture</x:v>
      </x:c>
      <x:c r="S19" s="125" t="str">
        <x:v>SEG-019-LP-0001</x:v>
      </x:c>
      <x:c r="T19" s="125" t="str">
        <x:v>W01</x:v>
      </x:c>
      <x:c r="U19" s="142" t="n">
        <x:v>22274.449906397924</x:v>
      </x:c>
      <x:c r="V19" s="143" t="n">
        <x:v>1255.000000110698</x:v>
      </x:c>
      <x:c r="W19" s="126" t="n">
        <x:v>0.00004781173500421726</x:v>
      </x:c>
    </x:row>
    <x:row r="20" ht="34" customHeight="1">
      <x:c r="A20" s="125" t="n">
        <x:v>16</x:v>
      </x:c>
      <x:c r="B20" s="125" t="str">
        <x:v>SEG-004</x:v>
      </x:c>
      <x:c r="C20" s="125" t="n">
        <x:v>1.5</x:v>
      </x:c>
      <x:c r="D20" s="125" t="n">
        <x:v>2</x:v>
      </x:c>
      <x:c r="E20" s="125" t="n">
        <x:v>0.5</x:v>
      </x:c>
      <x:c r="F20" s="126" t="n">
        <x:v>0.0005089757425692605</x:v>
      </x:c>
      <x:c r="G20" s="141" t="n">
        <x:v>0.011341792537078104</x:v>
      </x:c>
      <x:c r="H20" s="126" t="n">
        <x:v>0.001017951485138521</x:v>
      </x:c>
      <x:c r="I20" s="125" t="n">
        <x:v>16</x:v>
      </x:c>
      <x:c r="J20" s="126" t="n">
        <x:v>0.000001941806562297311</x:v>
      </x:c>
      <x:c r="K20" s="125" t="str">
        <x:v>POP-001</x:v>
      </x:c>
      <x:c r="L20" s="125" t="n">
        <x:v>17</x:v>
      </x:c>
      <x:c r="M20" s="125" t="str">
        <x:v>低风险（可接受）</x:v>
      </x:c>
      <x:c r="N20" s="125" t="n">
        <x:v>2455</x:v>
      </x:c>
      <x:c r="O20" s="125" t="n">
        <x:v>7</x:v>
      </x:c>
      <x:c r="P20" s="126" t="n">
        <x:v>0.00011849999999999998</x:v>
      </x:c>
      <x:c r="Q20" s="125" t="str">
        <x:v>jet_fire</x:v>
      </x:c>
      <x:c r="R20" s="125" t="str">
        <x:v>rupture</x:v>
      </x:c>
      <x:c r="S20" s="125" t="str">
        <x:v>SEG-004-LP-0010</x:v>
      </x:c>
      <x:c r="T20" s="125" t="str">
        <x:v>W05</x:v>
      </x:c>
      <x:c r="U20" s="142" t="n">
        <x:v>21666.075193322053</x:v>
      </x:c>
      <x:c r="V20" s="143" t="n">
        <x:v>275.0486958853902</x:v>
      </x:c>
      <x:c r="W20" s="126" t="n">
        <x:v>0.000009301459273104183</x:v>
      </x:c>
    </x:row>
    <x:row r="21" ht="34" customHeight="1">
      <x:c r="A21" s="125" t="n">
        <x:v>17</x:v>
      </x:c>
      <x:c r="B21" s="125" t="str">
        <x:v>SEG-003</x:v>
      </x:c>
      <x:c r="C21" s="125" t="n">
        <x:v>1</x:v>
      </x:c>
      <x:c r="D21" s="125" t="n">
        <x:v>1.5</x:v>
      </x:c>
      <x:c r="E21" s="125" t="n">
        <x:v>0.5</x:v>
      </x:c>
      <x:c r="F21" s="126" t="n">
        <x:v>0.0002853534260754404</x:v>
      </x:c>
      <x:c r="G21" s="141" t="n">
        <x:v>0.0063586907736603825</x:v>
      </x:c>
      <x:c r="H21" s="126" t="n">
        <x:v>0.0005707068521508808</x:v>
      </x:c>
      <x:c r="I21" s="125" t="n">
        <x:v>17</x:v>
      </x:c>
      <x:c r="J21" s="126" t="n">
        <x:v>0.0000018869243668321124</x:v>
      </x:c>
      <x:c r="K21" s="125" t="str">
        <x:v>POP-006</x:v>
      </x:c>
      <x:c r="L21" s="125" t="n">
        <x:v>19</x:v>
      </x:c>
      <x:c r="M21" s="125" t="str">
        <x:v>低风险（可接受）</x:v>
      </x:c>
      <x:c r="N21" s="125" t="n">
        <x:v>2455</x:v>
      </x:c>
      <x:c r="O21" s="125" t="n">
        <x:v>6</x:v>
      </x:c>
      <x:c r="P21" s="126" t="n">
        <x:v>0.00011849999999999998</x:v>
      </x:c>
      <x:c r="Q21" s="125" t="str">
        <x:v>jet_fire</x:v>
      </x:c>
      <x:c r="R21" s="125" t="str">
        <x:v>rupture</x:v>
      </x:c>
      <x:c r="S21" s="125" t="str">
        <x:v>SEG-003-LP-0010</x:v>
      </x:c>
      <x:c r="T21" s="125" t="str">
        <x:v>W05</x:v>
      </x:c>
      <x:c r="U21" s="142" t="n">
        <x:v>21666.075193322053</x:v>
      </x:c>
      <x:c r="V21" s="143" t="n">
        <x:v>275.00000328008895</x:v>
      </x:c>
      <x:c r="W21" s="126" t="n">
        <x:v>0.000009299812610924407</x:v>
      </x:c>
    </x:row>
    <x:row r="22" ht="34" customHeight="1">
      <x:c r="A22" s="125" t="n">
        <x:v>18</x:v>
      </x:c>
      <x:c r="B22" s="125" t="str">
        <x:v>SEG-020</x:v>
      </x:c>
      <x:c r="C22" s="125" t="n">
        <x:v>7.6</x:v>
      </x:c>
      <x:c r="D22" s="125" t="n">
        <x:v>8</x:v>
      </x:c>
      <x:c r="E22" s="125" t="n">
        <x:v>0.4</x:v>
      </x:c>
      <x:c r="F22" s="126" t="n">
        <x:v>0.00015648781355835357</x:v>
      </x:c>
      <x:c r="G22" s="141" t="n">
        <x:v>0.003487105902140878</x:v>
      </x:c>
      <x:c r="H22" s="126" t="n">
        <x:v>0.00039121953389588393</x:v>
      </x:c>
      <x:c r="I22" s="125" t="n">
        <x:v>18</x:v>
      </x:c>
      <x:c r="J22" s="126" t="n">
        <x:v>0.0000025397999999999994</x:v>
      </x:c>
      <x:c r="K22" s="125" t="str">
        <x:v>POP-007</x:v>
      </x:c>
      <x:c r="L22" s="125" t="n">
        <x:v>14</x:v>
      </x:c>
      <x:c r="M22" s="125" t="str">
        <x:v>低风险（可接受）</x:v>
      </x:c>
      <x:c r="N22" s="125" t="n">
        <x:v>2450</x:v>
      </x:c>
      <x:c r="O22" s="125" t="n">
        <x:v>10</x:v>
      </x:c>
      <x:c r="P22" s="126" t="n">
        <x:v>0.0001404</x:v>
      </x:c>
      <x:c r="Q22" s="125" t="str">
        <x:v>flash_fire</x:v>
      </x:c>
      <x:c r="R22" s="125" t="str">
        <x:v>rupture</x:v>
      </x:c>
      <x:c r="S22" s="125" t="str">
        <x:v>SEG-020-LP-0001</x:v>
      </x:c>
      <x:c r="T22" s="125" t="str">
        <x:v>W02</x:v>
      </x:c>
      <x:c r="U22" s="142" t="n">
        <x:v>22274.449906397924</x:v>
      </x:c>
      <x:c r="V22" s="143" t="n">
        <x:v>2450</x:v>
      </x:c>
      <x:c r="W22" s="126" t="n">
        <x:v>0.000011449909813724828</x:v>
      </x:c>
    </x:row>
    <x:row r="23" ht="34" customHeight="1">
      <x:c r="A23" s="125" t="n">
        <x:v>19</x:v>
      </x:c>
      <x:c r="B23" s="125" t="str">
        <x:v>SEG-002</x:v>
      </x:c>
      <x:c r="C23" s="125" t="n">
        <x:v>0.5</x:v>
      </x:c>
      <x:c r="D23" s="125" t="n">
        <x:v>1</x:v>
      </x:c>
      <x:c r="E23" s="125" t="n">
        <x:v>0.5</x:v>
      </x:c>
      <x:c r="F23" s="126" t="n">
        <x:v>0.00012906176516845055</x:v>
      </x:c>
      <x:c r="G23" s="141" t="n">
        <x:v>0.0028759558512957404</x:v>
      </x:c>
      <x:c r="H23" s="126" t="n">
        <x:v>0.0002581235303369011</x:v>
      </x:c>
      <x:c r="I23" s="125" t="n">
        <x:v>19</x:v>
      </x:c>
      <x:c r="J23" s="126" t="n">
        <x:v>0.0000018869243668321124</x:v>
      </x:c>
      <x:c r="K23" s="125" t="str">
        <x:v>POP-006</x:v>
      </x:c>
      <x:c r="L23" s="125" t="n">
        <x:v>18</x:v>
      </x:c>
      <x:c r="M23" s="125" t="str">
        <x:v>低风险（可接受）</x:v>
      </x:c>
      <x:c r="N23" s="125" t="n">
        <x:v>2455</x:v>
      </x:c>
      <x:c r="O23" s="125" t="n">
        <x:v>5</x:v>
      </x:c>
      <x:c r="P23" s="126" t="n">
        <x:v>0.00011849999999999998</x:v>
      </x:c>
      <x:c r="Q23" s="125" t="str">
        <x:v>flash_fire</x:v>
      </x:c>
      <x:c r="R23" s="125" t="str">
        <x:v>rupture</x:v>
      </x:c>
      <x:c r="S23" s="125" t="str">
        <x:v>SEG-002-LP-0001</x:v>
      </x:c>
      <x:c r="T23" s="125" t="str">
        <x:v>W04</x:v>
      </x:c>
      <x:c r="U23" s="142" t="n">
        <x:v>21666.075193322053</x:v>
      </x:c>
      <x:c r="V23" s="143" t="n">
        <x:v>2455</x:v>
      </x:c>
      <x:c r="W23" s="126" t="n">
        <x:v>0.0000067896430017500585</x:v>
      </x:c>
    </x:row>
    <x:row r="24" ht="34" customHeight="1">
      <x:c r="A24" s="127" t="n">
        <x:v>20</x:v>
      </x:c>
      <x:c r="B24" s="127" t="str">
        <x:v>SEG-001</x:v>
      </x:c>
      <x:c r="C24" s="127" t="n">
        <x:v>0</x:v>
      </x:c>
      <x:c r="D24" s="127" t="n">
        <x:v>0.5</x:v>
      </x:c>
      <x:c r="E24" s="127" t="n">
        <x:v>0.5</x:v>
      </x:c>
      <x:c r="F24" s="128" t="n">
        <x:v>0.0001283925318218864</x:v>
      </x:c>
      <x:c r="G24" s="133" t="n">
        <x:v>0.0028610429484974462</x:v>
      </x:c>
      <x:c r="H24" s="128" t="n">
        <x:v>0.0002567850636437728</x:v>
      </x:c>
      <x:c r="I24" s="127" t="n">
        <x:v>20</x:v>
      </x:c>
      <x:c r="J24" s="128" t="n">
        <x:v>0.0000018787499999999994</x:v>
      </x:c>
      <x:c r="K24" s="127" t="str">
        <x:v>POP-006</x:v>
      </x:c>
      <x:c r="L24" s="127" t="n">
        <x:v>20</x:v>
      </x:c>
      <x:c r="M24" s="127" t="str">
        <x:v>低风险（可接受）</x:v>
      </x:c>
      <x:c r="N24" s="127" t="n">
        <x:v>2455</x:v>
      </x:c>
      <x:c r="O24" s="127" t="n">
        <x:v>4</x:v>
      </x:c>
      <x:c r="P24" s="128" t="n">
        <x:v>0.00011849999999999998</x:v>
      </x:c>
      <x:c r="Q24" s="127" t="str">
        <x:v>flash_fire</x:v>
      </x:c>
      <x:c r="R24" s="127" t="str">
        <x:v>rupture</x:v>
      </x:c>
      <x:c r="S24" s="127" t="str">
        <x:v>SEG-001-LP-0010</x:v>
      </x:c>
      <x:c r="T24" s="127" t="str">
        <x:v>W04</x:v>
      </x:c>
      <x:c r="U24" s="144" t="n">
        <x:v>21666.075193322053</x:v>
      </x:c>
      <x:c r="V24" s="145" t="n">
        <x:v>2455</x:v>
      </x:c>
      <x:c r="W24" s="128" t="n">
        <x:v>0.0000067896430017500585</x:v>
      </x:c>
    </x:row>
  </x:sheetData>
  <x:mergeCells>
    <x:mergeCell ref="A1:W1"/>
    <x:mergeCell ref="A2:W2"/>
  </x:mergeCells>
  <x:conditionalFormatting sqref="M5:M24">
    <x:cfRule type="containsText" dxfId="1" priority="1" operator="containsText" text="低风险"/>
    <x:cfRule type="containsText" dxfId="2" priority="2" operator="containsText" text="ALARP"/>
    <x:cfRule type="containsText" dxfId="3" priority="3" operator="containsText" text="高风险"/>
  </x:conditionalFormatting>
  <x:pageMargins left="0.7" right="0.7" top="0.75" bottom="0.75" header="0.3" footer="0.3"/>
  <x:tableParts count="1">
    <x:tablePart xmlns:r="http://schemas.openxmlformats.org/officeDocument/2006/relationships" r:id="Rf685330eab0a44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1" hidden="0" customWidth="1"/>
    <x:col min="3" max="3" width="22" hidden="0" customWidth="1"/>
    <x:col min="4" max="4" width="48" hidden="0" customWidth="1"/>
    <x:col min="5" max="5" width="3" hidden="0" customWidth="1"/>
    <x:col min="6" max="6" width="22" hidden="0" customWidth="1"/>
    <x:col min="7" max="7" width="18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105" t="str">
        <x:v>人口受体个人风险IR</x:v>
      </x:c>
      <x:c r="B1" s="105" t="str">
        <x:v>人口受体个人风险IR</x:v>
      </x:c>
      <x:c r="C1" s="105" t="str">
        <x:v>人口受体个人风险IR</x:v>
      </x:c>
      <x:c r="D1" s="105" t="str">
        <x:v>人口受体个人风险IR</x:v>
      </x:c>
      <x:c r="E1" s="105" t="str">
        <x:v>人口受体个人风险IR</x:v>
      </x:c>
      <x:c r="F1" s="105" t="str">
        <x:v>人口受体个人风险IR</x:v>
      </x:c>
      <x:c r="G1" s="105" t="str">
        <x:v>人口受体个人风险IR</x:v>
      </x:c>
      <x:c r="H1" s="105" t="str">
        <x:v>人口受体个人风险IR</x:v>
      </x:c>
      <x:c r="I1" s="105" t="str">
        <x:v>人口受体个人风险IR</x:v>
      </x:c>
      <x:c r="J1" s="105" t="str">
        <x:v>人口受体个人风险IR</x:v>
      </x:c>
      <x:c r="K1" s="105" t="str">
        <x:v>人口受体个人风险IR</x:v>
      </x:c>
      <x:c r="L1" s="105" t="str">
        <x:v>人口受体个人风险IR</x:v>
      </x:c>
      <x:c r="M1" s="105" t="str">
        <x:v>人口受体个人风险IR</x:v>
      </x:c>
      <x:c r="N1" s="105" t="str">
        <x:v>人口受体个人风险IR</x:v>
      </x:c>
    </x:row>
    <x:row r="2" ht="32" customHeight="1">
      <x:c r="A2" s="106" t="str">
        <x:v>IR采用100%室外个体死亡概率且不乘人口；社会风险按每个时段的室内外人口比例计算。</x:v>
      </x:c>
      <x:c r="B2" s="106" t="str">
        <x:v>IR采用100%室外个体死亡概率且不乘人口；社会风险按每个时段的室内外人口比例计算。</x:v>
      </x:c>
      <x:c r="C2" s="106" t="str">
        <x:v>IR采用100%室外个体死亡概率且不乘人口；社会风险按每个时段的室内外人口比例计算。</x:v>
      </x:c>
      <x:c r="D2" s="106" t="str">
        <x:v>IR采用100%室外个体死亡概率且不乘人口；社会风险按每个时段的室内外人口比例计算。</x:v>
      </x:c>
      <x:c r="E2" s="106" t="str">
        <x:v>IR采用100%室外个体死亡概率且不乘人口；社会风险按每个时段的室内外人口比例计算。</x:v>
      </x:c>
      <x:c r="F2" s="146" t="str">
        <x:v>可接受上限（1/年）</x:v>
      </x:c>
      <x:c r="G2" s="147" t="n">
        <x:v>0.00001</x:v>
      </x:c>
      <x:c r="H2" s="106" t="str">
        <x:v>IR采用100%室外个体死亡概率且不乘人口；社会风险按每个时段的室内外人口比例计算。</x:v>
      </x:c>
      <x:c r="I2" s="106" t="str">
        <x:v>IR采用100%室外个体死亡概率且不乘人口；社会风险按每个时段的室内外人口比例计算。</x:v>
      </x:c>
      <x:c r="J2" s="106" t="str">
        <x:v>IR采用100%室外个体死亡概率且不乘人口；社会风险按每个时段的室内外人口比例计算。</x:v>
      </x:c>
      <x:c r="K2" s="106" t="str">
        <x:v>IR采用100%室外个体死亡概率且不乘人口；社会风险按每个时段的室内外人口比例计算。</x:v>
      </x:c>
      <x:c r="L2" s="106" t="str">
        <x:v>IR采用100%室外个体死亡概率且不乘人口；社会风险按每个时段的室内外人口比例计算。</x:v>
      </x:c>
      <x:c r="M2" s="106" t="str">
        <x:v>IR采用100%室外个体死亡概率且不乘人口；社会风险按每个时段的室内外人口比例计算。</x:v>
      </x:c>
      <x:c r="N2" s="106" t="str">
        <x:v>IR采用100%室外个体死亡概率且不乘人口；社会风险按每个时段的室内外人口比例计算。</x:v>
      </x:c>
    </x:row>
    <x:row r="3">
      <x:c r="A3" s="107"/>
      <x:c r="B3" s="107"/>
      <x:c r="C3" s="107"/>
      <x:c r="D3" s="107"/>
      <x:c r="E3" s="107"/>
      <x:c r="F3" s="148" t="str">
        <x:v>不可接受下限（1/年）</x:v>
      </x:c>
      <x:c r="G3" s="149" t="n">
        <x:v>0.001</x:v>
      </x:c>
      <x:c r="H3" s="107"/>
      <x:c r="I3" s="107"/>
      <x:c r="J3" s="107"/>
      <x:c r="K3" s="107"/>
      <x:c r="L3" s="107"/>
      <x:c r="M3" s="107"/>
      <x:c r="N3" s="107"/>
    </x:row>
    <x:row r="4" ht="32" customHeight="1">
      <x:c r="A4" s="122" t="str">
        <x:v>受体ID</x:v>
      </x:c>
      <x:c r="B4" s="122" t="str">
        <x:v>个人风险IR（1/年）</x:v>
      </x:c>
      <x:c r="C4" s="122" t="str">
        <x:v>等级</x:v>
      </x:c>
      <x:c r="D4" s="122" t="str">
        <x:v>处理要求</x:v>
      </x:c>
      <x:c r="E4" s="107"/>
      <x:c r="F4" s="107"/>
      <x:c r="G4" s="107"/>
      <x:c r="H4" s="107"/>
      <x:c r="I4" s="107"/>
      <x:c r="J4" s="107"/>
      <x:c r="K4" s="107"/>
      <x:c r="L4" s="107"/>
      <x:c r="M4" s="107"/>
      <x:c r="N4" s="107"/>
    </x:row>
    <x:row r="5" ht="30" customHeight="1">
      <x:c r="A5" s="123" t="str">
        <x:v>POP-002</x:v>
      </x:c>
      <x:c r="B5" s="124" t="n">
        <x:v>0.000036546299459738425</x:v>
      </x:c>
      <x:c r="C5" s="123" t="str">
        <x:f>IF(B5&lt;=$G$2,"低风险（可接受）",IF(B5&gt;$G$3,"高风险（不可接受）","中风险（ALARP）"))</x:f>
        <x:v>中风险（ALARP）</x:v>
      </x:c>
      <x:c r="D5" s="123" t="str">
        <x:f>IF(B5&lt;=$G$2,"维持控制并持续监测",IF(B5&gt;$G$3,"必须降低风险后方可接受","开展成本效益分析并将风险降至尽可能低"))</x:f>
        <x:v>开展成本效益分析并将风险降至尽可能低</x:v>
      </x:c>
      <x:c r="E5" s="107"/>
      <x:c r="F5" s="107"/>
      <x:c r="G5" s="107"/>
      <x:c r="H5" s="107"/>
      <x:c r="I5" s="107"/>
      <x:c r="J5" s="107"/>
      <x:c r="K5" s="107"/>
      <x:c r="L5" s="107"/>
      <x:c r="M5" s="107"/>
      <x:c r="N5" s="107"/>
    </x:row>
    <x:row r="6" ht="30" customHeight="1">
      <x:c r="A6" s="125" t="str">
        <x:v>POP-003</x:v>
      </x:c>
      <x:c r="B6" s="126" t="n">
        <x:v>0.0000341201165319981</x:v>
      </x:c>
      <x:c r="C6" s="125" t="str">
        <x:f>IF(B6&lt;=$G$2,"低风险（可接受）",IF(B6&gt;$G$3,"高风险（不可接受）","中风险（ALARP）"))</x:f>
        <x:v>中风险（ALARP）</x:v>
      </x:c>
      <x:c r="D6" s="125" t="str">
        <x:f>IF(B6&lt;=$G$2,"维持控制并持续监测",IF(B6&gt;$G$3,"必须降低风险后方可接受","开展成本效益分析并将风险降至尽可能低"))</x:f>
        <x:v>开展成本效益分析并将风险降至尽可能低</x:v>
      </x:c>
      <x:c r="E6" s="107"/>
      <x:c r="F6" s="107"/>
      <x:c r="G6" s="107"/>
      <x:c r="H6" s="107"/>
      <x:c r="I6" s="107"/>
      <x:c r="J6" s="107"/>
      <x:c r="K6" s="107"/>
      <x:c r="L6" s="107"/>
      <x:c r="M6" s="107"/>
      <x:c r="N6" s="107"/>
    </x:row>
    <x:row r="7" ht="30" customHeight="1">
      <x:c r="A7" s="125" t="str">
        <x:v>POP-004</x:v>
      </x:c>
      <x:c r="B7" s="126" t="n">
        <x:v>0.00003376543669164825</x:v>
      </x:c>
      <x:c r="C7" s="125" t="str">
        <x:f>IF(B7&lt;=$G$2,"低风险（可接受）",IF(B7&gt;$G$3,"高风险（不可接受）","中风险（ALARP）"))</x:f>
        <x:v>中风险（ALARP）</x:v>
      </x:c>
      <x:c r="D7" s="125" t="str">
        <x:f>IF(B7&lt;=$G$2,"维持控制并持续监测",IF(B7&gt;$G$3,"必须降低风险后方可接受","开展成本效益分析并将风险降至尽可能低"))</x:f>
        <x:v>开展成本效益分析并将风险降至尽可能低</x:v>
      </x:c>
      <x:c r="E7" s="107"/>
      <x:c r="F7" s="107"/>
      <x:c r="G7" s="107"/>
      <x:c r="H7" s="107"/>
      <x:c r="I7" s="107"/>
      <x:c r="J7" s="107"/>
      <x:c r="K7" s="107"/>
      <x:c r="L7" s="107"/>
      <x:c r="M7" s="107"/>
      <x:c r="N7" s="107"/>
    </x:row>
    <x:row r="8" ht="30" customHeight="1">
      <x:c r="A8" s="125" t="str">
        <x:v>POP-005</x:v>
      </x:c>
      <x:c r="B8" s="126" t="n">
        <x:v>0.00003273074052084132</x:v>
      </x:c>
      <x:c r="C8" s="125" t="str">
        <x:f>IF(B8&lt;=$G$2,"低风险（可接受）",IF(B8&gt;$G$3,"高风险（不可接受）","中风险（ALARP）"))</x:f>
        <x:v>中风险（ALARP）</x:v>
      </x:c>
      <x:c r="D8" s="125" t="str">
        <x:f>IF(B8&lt;=$G$2,"维持控制并持续监测",IF(B8&gt;$G$3,"必须降低风险后方可接受","开展成本效益分析并将风险降至尽可能低"))</x:f>
        <x:v>开展成本效益分析并将风险降至尽可能低</x:v>
      </x:c>
      <x:c r="E8" s="107"/>
      <x:c r="F8" s="107"/>
      <x:c r="G8" s="107"/>
      <x:c r="H8" s="107"/>
      <x:c r="I8" s="107"/>
      <x:c r="J8" s="107"/>
      <x:c r="K8" s="107"/>
      <x:c r="L8" s="107"/>
      <x:c r="M8" s="107"/>
      <x:c r="N8" s="107"/>
    </x:row>
    <x:row r="9" ht="30" customHeight="1">
      <x:c r="A9" s="125" t="str">
        <x:v>POP-001</x:v>
      </x:c>
      <x:c r="B9" s="126" t="n">
        <x:v>0.00003158783956764587</x:v>
      </x:c>
      <x:c r="C9" s="125" t="str">
        <x:f>IF(B9&lt;=$G$2,"低风险（可接受）",IF(B9&gt;$G$3,"高风险（不可接受）","中风险（ALARP）"))</x:f>
        <x:v>中风险（ALARP）</x:v>
      </x:c>
      <x:c r="D9" s="125" t="str">
        <x:f>IF(B9&lt;=$G$2,"维持控制并持续监测",IF(B9&gt;$G$3,"必须降低风险后方可接受","开展成本效益分析并将风险降至尽可能低"))</x:f>
        <x:v>开展成本效益分析并将风险降至尽可能低</x:v>
      </x:c>
      <x:c r="E9" s="107"/>
      <x:c r="F9" s="107"/>
      <x:c r="G9" s="107"/>
      <x:c r="H9" s="107"/>
      <x:c r="I9" s="107"/>
      <x:c r="J9" s="107"/>
      <x:c r="K9" s="107"/>
      <x:c r="L9" s="107"/>
      <x:c r="M9" s="107"/>
      <x:c r="N9" s="107"/>
    </x:row>
    <x:row r="10" ht="30" customHeight="1">
      <x:c r="A10" s="125" t="str">
        <x:v>POP-008</x:v>
      </x:c>
      <x:c r="B10" s="126" t="n">
        <x:v>0.000030237274616364024</x:v>
      </x:c>
      <x:c r="C10" s="125" t="str">
        <x:f>IF(B10&lt;=$G$2,"低风险（可接受）",IF(B10&gt;$G$3,"高风险（不可接受）","中风险（ALARP）"))</x:f>
        <x:v>中风险（ALARP）</x:v>
      </x:c>
      <x:c r="D10" s="125" t="str">
        <x:f>IF(B10&lt;=$G$2,"维持控制并持续监测",IF(B10&gt;$G$3,"必须降低风险后方可接受","开展成本效益分析并将风险降至尽可能低"))</x:f>
        <x:v>开展成本效益分析并将风险降至尽可能低</x:v>
      </x:c>
      <x:c r="E10" s="107"/>
      <x:c r="F10" s="107"/>
      <x:c r="G10" s="107"/>
      <x:c r="H10" s="107"/>
      <x:c r="I10" s="107"/>
      <x:c r="J10" s="107"/>
      <x:c r="K10" s="107"/>
      <x:c r="L10" s="107"/>
      <x:c r="M10" s="107"/>
      <x:c r="N10" s="107"/>
    </x:row>
    <x:row r="11" ht="30" customHeight="1">
      <x:c r="A11" s="125" t="str">
        <x:v>POP-007</x:v>
      </x:c>
      <x:c r="B11" s="126" t="n">
        <x:v>0.00002203553974044288</x:v>
      </x:c>
      <x:c r="C11" s="125" t="str">
        <x:f>IF(B11&lt;=$G$2,"低风险（可接受）",IF(B11&gt;$G$3,"高风险（不可接受）","中风险（ALARP）"))</x:f>
        <x:v>中风险（ALARP）</x:v>
      </x:c>
      <x:c r="D11" s="125" t="str">
        <x:f>IF(B11&lt;=$G$2,"维持控制并持续监测",IF(B11&gt;$G$3,"必须降低风险后方可接受","开展成本效益分析并将风险降至尽可能低"))</x:f>
        <x:v>开展成本效益分析并将风险降至尽可能低</x:v>
      </x:c>
      <x:c r="E11" s="107"/>
      <x:c r="F11" s="107"/>
      <x:c r="G11" s="107"/>
      <x:c r="H11" s="107"/>
      <x:c r="I11" s="107"/>
      <x:c r="J11" s="107"/>
      <x:c r="K11" s="107"/>
      <x:c r="L11" s="107"/>
      <x:c r="M11" s="107"/>
      <x:c r="N11" s="107"/>
    </x:row>
    <x:row r="12" ht="30" customHeight="1">
      <x:c r="A12" s="127" t="str">
        <x:v>POP-006</x:v>
      </x:c>
      <x:c r="B12" s="128" t="n">
        <x:v>0.00001766408529995154</x:v>
      </x:c>
      <x:c r="C12" s="127" t="str">
        <x:f>IF(B12&lt;=$G$2,"低风险（可接受）",IF(B12&gt;$G$3,"高风险（不可接受）","中风险（ALARP）"))</x:f>
        <x:v>中风险（ALARP）</x:v>
      </x:c>
      <x:c r="D12" s="127" t="str">
        <x:f>IF(B12&lt;=$G$2,"维持控制并持续监测",IF(B12&gt;$G$3,"必须降低风险后方可接受","开展成本效益分析并将风险降至尽可能低"))</x:f>
        <x:v>开展成本效益分析并将风险降至尽可能低</x:v>
      </x:c>
      <x:c r="E12" s="107"/>
      <x:c r="F12" s="107"/>
      <x:c r="G12" s="107"/>
      <x:c r="H12" s="107"/>
      <x:c r="I12" s="107"/>
      <x:c r="J12" s="107"/>
      <x:c r="K12" s="107"/>
      <x:c r="L12" s="107"/>
      <x:c r="M12" s="107"/>
      <x:c r="N12" s="107"/>
    </x:row>
    <x:row r="13">
      <x:c r="A13" s="107"/>
      <x:c r="B13" s="107"/>
      <x:c r="C13" s="107"/>
      <x:c r="D13" s="107"/>
      <x:c r="E13" s="107"/>
      <x:c r="F13" s="107"/>
      <x:c r="G13" s="107"/>
      <x:c r="H13" s="107"/>
      <x:c r="I13" s="107"/>
      <x:c r="J13" s="107"/>
      <x:c r="K13" s="107"/>
      <x:c r="L13" s="107"/>
      <x:c r="M13" s="107"/>
      <x:c r="N13" s="107"/>
    </x:row>
    <x:row r="14">
      <x:c r="A14" s="107"/>
      <x:c r="B14" s="107"/>
      <x:c r="C14" s="107"/>
      <x:c r="D14" s="107"/>
      <x:c r="E14" s="107"/>
      <x:c r="F14" s="107"/>
      <x:c r="G14" s="107"/>
      <x:c r="H14" s="107"/>
      <x:c r="I14" s="107"/>
      <x:c r="J14" s="107"/>
      <x:c r="K14" s="107"/>
      <x:c r="L14" s="107"/>
      <x:c r="M14" s="107"/>
      <x:c r="N14" s="107"/>
    </x:row>
    <x:row r="15">
      <x:c r="A15" s="150" t="str">
        <x:v>本次全线最大IR位于POP-002，为3.654630e-5/年，按当前参考准则属于中风险（ALARP）。</x:v>
      </x:c>
      <x:c r="B15" s="150" t="str">
        <x:v>本次全线最大IR位于POP-002，为3.654630e-5/年，按当前参考准则属于中风险（ALARP）。</x:v>
      </x:c>
      <x:c r="C15" s="150" t="str">
        <x:v>本次全线最大IR位于POP-002，为3.654630e-5/年，按当前参考准则属于中风险（ALARP）。</x:v>
      </x:c>
      <x:c r="D15" s="150" t="str">
        <x:v>本次全线最大IR位于POP-002，为3.654630e-5/年，按当前参考准则属于中风险（ALARP）。</x:v>
      </x:c>
      <x:c r="E15" s="107"/>
      <x:c r="F15" s="107"/>
      <x:c r="G15" s="107"/>
      <x:c r="H15" s="107"/>
      <x:c r="I15" s="107"/>
      <x:c r="J15" s="107"/>
      <x:c r="K15" s="107"/>
      <x:c r="L15" s="107"/>
      <x:c r="M15" s="107"/>
      <x:c r="N15" s="107"/>
    </x:row>
    <x:row r="16">
      <x:c r="A16" s="150" t="str">
        <x:v>本次全线最大IR位于POP-002，为3.654630e-5/年，按当前参考准则属于中风险（ALARP）。</x:v>
      </x:c>
      <x:c r="B16" s="150" t="str">
        <x:v>本次全线最大IR位于POP-002，为3.654630e-5/年，按当前参考准则属于中风险（ALARP）。</x:v>
      </x:c>
      <x:c r="C16" s="150" t="str">
        <x:v>本次全线最大IR位于POP-002，为3.654630e-5/年，按当前参考准则属于中风险（ALARP）。</x:v>
      </x:c>
      <x:c r="D16" s="150" t="str">
        <x:v>本次全线最大IR位于POP-002，为3.654630e-5/年，按当前参考准则属于中风险（ALARP）。</x:v>
      </x:c>
      <x:c r="E16" s="107"/>
      <x:c r="F16" s="107"/>
      <x:c r="G16" s="107"/>
      <x:c r="H16" s="107"/>
      <x:c r="I16" s="107"/>
      <x:c r="J16" s="107"/>
      <x:c r="K16" s="107"/>
      <x:c r="L16" s="107"/>
      <x:c r="M16" s="107"/>
      <x:c r="N16" s="107"/>
    </x:row>
    <x:row r="17">
      <x:c r="A17" s="150" t="str">
        <x:v>本次全线最大IR位于POP-002，为3.654630e-5/年，按当前参考准则属于中风险（ALARP）。</x:v>
      </x:c>
      <x:c r="B17" s="150" t="str">
        <x:v>本次全线最大IR位于POP-002，为3.654630e-5/年，按当前参考准则属于中风险（ALARP）。</x:v>
      </x:c>
      <x:c r="C17" s="150" t="str">
        <x:v>本次全线最大IR位于POP-002，为3.654630e-5/年，按当前参考准则属于中风险（ALARP）。</x:v>
      </x:c>
      <x:c r="D17" s="150" t="str">
        <x:v>本次全线最大IR位于POP-002，为3.654630e-5/年，按当前参考准则属于中风险（ALARP）。</x:v>
      </x:c>
      <x:c r="E17" s="107"/>
      <x:c r="F17" s="107"/>
      <x:c r="G17" s="107"/>
      <x:c r="H17" s="107"/>
      <x:c r="I17" s="107"/>
      <x:c r="J17" s="107"/>
      <x:c r="K17" s="107"/>
      <x:c r="L17" s="107"/>
      <x:c r="M17" s="107"/>
      <x:c r="N17" s="107"/>
    </x:row>
  </x:sheetData>
  <x:mergeCells>
    <x:mergeCell ref="A1:N1"/>
    <x:mergeCell ref="A2:N2"/>
    <x:mergeCell ref="A15:D17"/>
  </x:mergeCells>
  <x:conditionalFormatting sqref="C5:C12">
    <x:cfRule type="containsText" dxfId="4" priority="1" operator="containsText" text="低风险"/>
    <x:cfRule type="containsText" dxfId="5" priority="2" operator="containsText" text="ALARP"/>
    <x:cfRule type="containsText" dxfId="6" priority="3" operator="containsText" text="高风险"/>
  </x:conditionalFormatting>
  <x:pageMargins left="0.7" right="0.7" top="0.75" bottom="0.75" header="0.3" footer="0.3"/>
  <x:drawing xmlns:r="http://schemas.openxmlformats.org/officeDocument/2006/relationships" r:id="R30332c0597d84169"/>
  <x:tableParts count="1">
    <x:tablePart xmlns:r="http://schemas.openxmlformats.org/officeDocument/2006/relationships" r:id="R8bfefdb1cae549e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  <x:col min="3" max="3" width="28" hidden="0" customWidth="1"/>
    <x:col min="4" max="4" width="3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30" customHeight="1">
      <x:c r="A1" s="105" t="str">
        <x:v>社会风险F-N与全线PLL</x:v>
      </x:c>
      <x:c r="B1" s="105" t="str">
        <x:v>社会风险F-N与全线PLL</x:v>
      </x:c>
      <x:c r="C1" s="105" t="str">
        <x:v>社会风险F-N与全线PLL</x:v>
      </x:c>
      <x:c r="D1" s="105" t="str">
        <x:v>社会风险F-N与全线PLL</x:v>
      </x:c>
      <x:c r="E1" s="105" t="str">
        <x:v>社会风险F-N与全线PLL</x:v>
      </x:c>
      <x:c r="F1" s="105" t="str">
        <x:v>社会风险F-N与全线PLL</x:v>
      </x:c>
      <x:c r="G1" s="105" t="str">
        <x:v>社会风险F-N与全线PLL</x:v>
      </x:c>
      <x:c r="H1" s="105" t="str">
        <x:v>社会风险F-N与全线PLL</x:v>
      </x:c>
      <x:c r="I1" s="105" t="str">
        <x:v>社会风险F-N与全线PLL</x:v>
      </x:c>
      <x:c r="J1" s="105" t="str">
        <x:v>社会风险F-N与全线PLL</x:v>
      </x:c>
      <x:c r="K1" s="105" t="str">
        <x:v>社会风险F-N与全线PLL</x:v>
      </x:c>
      <x:c r="L1" s="105" t="str">
        <x:v>社会风险F-N与全线PLL</x:v>
      </x:c>
      <x:c r="M1" s="105" t="str">
        <x:v>社会风险F-N与全线PLL</x:v>
      </x:c>
    </x:row>
    <x:row r="2" ht="32" customHeight="1">
      <x:c r="A2" s="106" t="str">
        <x:v>F-N表示造成不少于N人死亡的事故累计频率；当前没有获批的项目F-N数值准则，因此只计算、不自动判级。</x:v>
      </x:c>
      <x:c r="B2" s="106" t="str">
        <x:v>F-N表示造成不少于N人死亡的事故累计频率；当前没有获批的项目F-N数值准则，因此只计算、不自动判级。</x:v>
      </x:c>
      <x:c r="C2" s="106" t="str">
        <x:v>F-N表示造成不少于N人死亡的事故累计频率；当前没有获批的项目F-N数值准则，因此只计算、不自动判级。</x:v>
      </x:c>
      <x:c r="D2" s="106" t="str">
        <x:v>F-N表示造成不少于N人死亡的事故累计频率；当前没有获批的项目F-N数值准则，因此只计算、不自动判级。</x:v>
      </x:c>
      <x:c r="E2" s="106" t="str">
        <x:v>F-N表示造成不少于N人死亡的事故累计频率；当前没有获批的项目F-N数值准则，因此只计算、不自动判级。</x:v>
      </x:c>
      <x:c r="F2" s="106" t="str">
        <x:v>F-N表示造成不少于N人死亡的事故累计频率；当前没有获批的项目F-N数值准则，因此只计算、不自动判级。</x:v>
      </x:c>
      <x:c r="G2" s="106" t="str">
        <x:v>F-N表示造成不少于N人死亡的事故累计频率；当前没有获批的项目F-N数值准则，因此只计算、不自动判级。</x:v>
      </x:c>
      <x:c r="H2" s="106" t="str">
        <x:v>F-N表示造成不少于N人死亡的事故累计频率；当前没有获批的项目F-N数值准则，因此只计算、不自动判级。</x:v>
      </x:c>
      <x:c r="I2" s="106" t="str">
        <x:v>F-N表示造成不少于N人死亡的事故累计频率；当前没有获批的项目F-N数值准则，因此只计算、不自动判级。</x:v>
      </x:c>
      <x:c r="J2" s="106" t="str">
        <x:v>F-N表示造成不少于N人死亡的事故累计频率；当前没有获批的项目F-N数值准则，因此只计算、不自动判级。</x:v>
      </x:c>
      <x:c r="K2" s="106" t="str">
        <x:v>F-N表示造成不少于N人死亡的事故累计频率；当前没有获批的项目F-N数值准则，因此只计算、不自动判级。</x:v>
      </x:c>
      <x:c r="L2" s="106" t="str">
        <x:v>F-N表示造成不少于N人死亡的事故累计频率；当前没有获批的项目F-N数值准则，因此只计算、不自动判级。</x:v>
      </x:c>
      <x:c r="M2" s="106" t="str">
        <x:v>F-N表示造成不少于N人死亡的事故累计频率；当前没有获批的项目F-N数值准则，因此只计算、不自动判级。</x:v>
      </x:c>
    </x:row>
    <x:row r="3">
      <x:c r="A3" s="107"/>
      <x:c r="B3" s="107"/>
      <x:c r="C3" s="107"/>
      <x:c r="D3" s="107"/>
      <x:c r="E3" s="107"/>
      <x:c r="F3" s="107"/>
      <x:c r="G3" s="107"/>
      <x:c r="H3" s="107"/>
      <x:c r="I3" s="107"/>
      <x:c r="J3" s="107"/>
      <x:c r="K3" s="107"/>
      <x:c r="L3" s="107"/>
      <x:c r="M3" s="107"/>
    </x:row>
    <x:row r="4" ht="32" customHeight="1">
      <x:c r="A4" s="122" t="str">
        <x:v>死亡人数至少N</x:v>
      </x:c>
      <x:c r="B4" s="122" t="str">
        <x:v>累计频率（1/年）</x:v>
      </x:c>
      <x:c r="C4" s="122" t="str">
        <x:v>判定状态</x:v>
      </x:c>
      <x:c r="D4" s="107"/>
      <x:c r="E4" s="107"/>
      <x:c r="F4" s="107"/>
      <x:c r="G4" s="107"/>
      <x:c r="H4" s="107"/>
      <x:c r="I4" s="107"/>
      <x:c r="J4" s="107"/>
      <x:c r="K4" s="107"/>
      <x:c r="L4" s="107"/>
      <x:c r="M4" s="107"/>
    </x:row>
    <x:row r="5" ht="30" customHeight="1">
      <x:c r="A5" s="123" t="n">
        <x:v>1</x:v>
      </x:c>
      <x:c r="B5" s="124" t="n">
        <x:v>0.00007844811948128066</x:v>
      </x:c>
      <x:c r="C5" s="123" t="str">
        <x:v>CALCULATED_NOT_JUDGED</x:v>
      </x:c>
      <x:c r="D5" s="107"/>
      <x:c r="E5" s="107"/>
      <x:c r="F5" s="107"/>
      <x:c r="G5" s="107"/>
      <x:c r="H5" s="107"/>
      <x:c r="I5" s="107"/>
      <x:c r="J5" s="107"/>
      <x:c r="K5" s="107"/>
      <x:c r="L5" s="107"/>
      <x:c r="M5" s="107"/>
    </x:row>
    <x:row r="6" ht="30" customHeight="1">
      <x:c r="A6" s="125" t="n">
        <x:v>5</x:v>
      </x:c>
      <x:c r="B6" s="126" t="n">
        <x:v>0.00007517707232948428</x:v>
      </x:c>
      <x:c r="C6" s="125" t="str">
        <x:v>CALCULATED_NOT_JUDGED</x:v>
      </x:c>
      <x:c r="D6" s="107"/>
      <x:c r="E6" s="107"/>
      <x:c r="F6" s="107"/>
      <x:c r="G6" s="107"/>
      <x:c r="H6" s="107"/>
      <x:c r="I6" s="107"/>
      <x:c r="J6" s="107"/>
      <x:c r="K6" s="107"/>
      <x:c r="L6" s="107"/>
      <x:c r="M6" s="107"/>
    </x:row>
    <x:row r="7" ht="30" customHeight="1">
      <x:c r="A7" s="125" t="n">
        <x:v>10</x:v>
      </x:c>
      <x:c r="B7" s="126" t="n">
        <x:v>0.00006973837996840848</x:v>
      </x:c>
      <x:c r="C7" s="125" t="str">
        <x:v>CALCULATED_NOT_JUDGED</x:v>
      </x:c>
      <x:c r="D7" s="107"/>
      <x:c r="E7" s="107"/>
      <x:c r="F7" s="107"/>
      <x:c r="G7" s="107"/>
      <x:c r="H7" s="107"/>
      <x:c r="I7" s="107"/>
      <x:c r="J7" s="107"/>
      <x:c r="K7" s="107"/>
      <x:c r="L7" s="107"/>
      <x:c r="M7" s="107"/>
    </x:row>
    <x:row r="8" ht="30" customHeight="1">
      <x:c r="A8" s="125" t="n">
        <x:v>30</x:v>
      </x:c>
      <x:c r="B8" s="126" t="n">
        <x:v>0.000060881057856723354</x:v>
      </x:c>
      <x:c r="C8" s="125" t="str">
        <x:v>CALCULATED_NOT_JUDGED</x:v>
      </x:c>
      <x:c r="D8" s="107"/>
      <x:c r="E8" s="107"/>
      <x:c r="F8" s="107"/>
      <x:c r="G8" s="107"/>
      <x:c r="H8" s="107"/>
      <x:c r="I8" s="107"/>
      <x:c r="J8" s="107"/>
      <x:c r="K8" s="107"/>
      <x:c r="L8" s="107"/>
      <x:c r="M8" s="107"/>
    </x:row>
    <x:row r="9" ht="30" customHeight="1">
      <x:c r="A9" s="125" t="n">
        <x:v>50</x:v>
      </x:c>
      <x:c r="B9" s="126" t="n">
        <x:v>0.000059223581047965024</x:v>
      </x:c>
      <x:c r="C9" s="125" t="str">
        <x:v>CALCULATED_NOT_JUDGED</x:v>
      </x:c>
      <x:c r="D9" s="107"/>
      <x:c r="E9" s="107"/>
      <x:c r="F9" s="107"/>
      <x:c r="G9" s="107"/>
      <x:c r="H9" s="107"/>
      <x:c r="I9" s="107"/>
      <x:c r="J9" s="107"/>
      <x:c r="K9" s="107"/>
      <x:c r="L9" s="107"/>
      <x:c r="M9" s="107"/>
    </x:row>
    <x:row r="10" ht="30" customHeight="1">
      <x:c r="A10" s="127" t="n">
        <x:v>100</x:v>
      </x:c>
      <x:c r="B10" s="128" t="n">
        <x:v>0.000052712424180357505</x:v>
      </x:c>
      <x:c r="C10" s="127" t="str">
        <x:v>CALCULATED_NOT_JUDGED</x:v>
      </x:c>
      <x:c r="D10" s="107"/>
      <x:c r="E10" s="107"/>
      <x:c r="F10" s="107"/>
      <x:c r="G10" s="107"/>
      <x:c r="H10" s="107"/>
      <x:c r="I10" s="107"/>
      <x:c r="J10" s="107"/>
      <x:c r="K10" s="107"/>
      <x:c r="L10" s="107"/>
      <x:c r="M10" s="107"/>
    </x:row>
    <x:row r="11">
      <x:c r="A11" s="107"/>
      <x:c r="B11" s="107"/>
      <x:c r="C11" s="107"/>
      <x:c r="D11" s="107"/>
      <x:c r="E11" s="107"/>
      <x:c r="F11" s="107"/>
      <x:c r="G11" s="107"/>
      <x:c r="H11" s="107"/>
      <x:c r="I11" s="107"/>
      <x:c r="J11" s="107"/>
      <x:c r="K11" s="107"/>
      <x:c r="L11" s="107"/>
      <x:c r="M11" s="107"/>
    </x:row>
    <x:row r="12">
      <x:c r="A12" s="107"/>
      <x:c r="B12" s="107"/>
      <x:c r="C12" s="107"/>
      <x:c r="D12" s="107"/>
      <x:c r="E12" s="107"/>
      <x:c r="F12" s="107"/>
      <x:c r="G12" s="107"/>
      <x:c r="H12" s="107"/>
      <x:c r="I12" s="107"/>
      <x:c r="J12" s="107"/>
      <x:c r="K12" s="107"/>
      <x:c r="L12" s="107"/>
      <x:c r="M12" s="107"/>
    </x:row>
    <x:row r="13">
      <x:c r="A13" s="148" t="str">
        <x:v>全线PLL（期望死亡/年）</x:v>
      </x:c>
      <x:c r="B13" s="149" t="n">
        <x:v>0.04487612878699189</x:v>
      </x:c>
      <x:c r="C13" s="107"/>
      <x:c r="D13" s="107"/>
      <x:c r="E13" s="107"/>
      <x:c r="F13" s="107"/>
      <x:c r="G13" s="107"/>
      <x:c r="H13" s="107"/>
      <x:c r="I13" s="107"/>
      <x:c r="J13" s="107"/>
      <x:c r="K13" s="107"/>
      <x:c r="L13" s="107"/>
      <x:c r="M13" s="107"/>
    </x:row>
    <x:row r="14">
      <x:c r="A14" s="148" t="str">
        <x:v>PLL单位</x:v>
      </x:c>
      <x:c r="B14" s="107" t="str">
        <x:v>fatalities_per_year</x:v>
      </x:c>
      <x:c r="C14" s="107"/>
      <x:c r="D14" s="107"/>
      <x:c r="E14" s="107"/>
      <x:c r="F14" s="107"/>
      <x:c r="G14" s="107"/>
      <x:c r="H14" s="107"/>
      <x:c r="I14" s="107"/>
      <x:c r="J14" s="107"/>
      <x:c r="K14" s="107"/>
      <x:c r="L14" s="107"/>
      <x:c r="M14" s="107"/>
    </x:row>
    <x:row r="15">
      <x:c r="A15" s="148" t="str">
        <x:v>F-N判定</x:v>
      </x:c>
      <x:c r="B15" s="151" t="str">
        <x:v>尚未批准适用于本项目的数值F-N可接受曲线，禁止用示意图代替正式准则。</x:v>
      </x:c>
      <x:c r="C15" s="107"/>
      <x:c r="D15" s="107"/>
      <x:c r="E15" s="107"/>
      <x:c r="F15" s="107"/>
      <x:c r="G15" s="107"/>
      <x:c r="H15" s="107"/>
      <x:c r="I15" s="107"/>
      <x:c r="J15" s="107"/>
      <x:c r="K15" s="107"/>
      <x:c r="L15" s="107"/>
      <x:c r="M15" s="107"/>
    </x:row>
  </x:sheetData>
  <x:mergeCells>
    <x:mergeCell ref="A1:M1"/>
    <x:mergeCell ref="A2:M2"/>
  </x:mergeCells>
  <x:pageMargins left="0.7" right="0.7" top="0.75" bottom="0.75" header="0.3" footer="0.3"/>
  <x:drawing xmlns:r="http://schemas.openxmlformats.org/officeDocument/2006/relationships" r:id="R424b07fe9842405c"/>
  <x:tableParts count="1">
    <x:tablePart xmlns:r="http://schemas.openxmlformats.org/officeDocument/2006/relationships" r:id="R76aef7569486458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3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105" t="str">
        <x:v>泄漏频率、事件树分支与守恒诊断</x:v>
      </x:c>
      <x:c r="B1" s="105" t="str">
        <x:v>泄漏频率、事件树分支与守恒诊断</x:v>
      </x:c>
      <x:c r="C1" s="105" t="str">
        <x:v>泄漏频率、事件树分支与守恒诊断</x:v>
      </x:c>
      <x:c r="D1" s="105" t="str">
        <x:v>泄漏频率、事件树分支与守恒诊断</x:v>
      </x:c>
      <x:c r="E1" s="105" t="str">
        <x:v>泄漏频率、事件树分支与守恒诊断</x:v>
      </x:c>
      <x:c r="F1" s="105" t="str">
        <x:v>泄漏频率、事件树分支与守恒诊断</x:v>
      </x:c>
      <x:c r="G1" s="105" t="str">
        <x:v>泄漏频率、事件树分支与守恒诊断</x:v>
      </x:c>
      <x:c r="H1" s="105" t="str">
        <x:v>泄漏频率、事件树分支与守恒诊断</x:v>
      </x:c>
      <x:c r="I1" s="105" t="str">
        <x:v>泄漏频率、事件树分支与守恒诊断</x:v>
      </x:c>
      <x:c r="J1" s="105" t="str">
        <x:v>泄漏频率、事件树分支与守恒诊断</x:v>
      </x:c>
      <x:c r="K1" s="105" t="str">
        <x:v>泄漏频率、事件树分支与守恒诊断</x:v>
      </x:c>
      <x:c r="L1" s="105" t="str">
        <x:v>泄漏频率、事件树分支与守恒诊断</x:v>
      </x:c>
      <x:c r="M1" s="105" t="str">
        <x:v>泄漏频率、事件树分支与守恒诊断</x:v>
      </x:c>
      <x:c r="N1" s="105" t="str">
        <x:v>泄漏频率、事件树分支与守恒诊断</x:v>
      </x:c>
    </x:row>
    <x:row r="2" ht="32" customHeight="1">
      <x:c r="A2" s="106" t="str">
        <x:v>起始频率按管段和四类泄漏场景展开；分支频率之和应与起始频率一致。</x:v>
      </x:c>
      <x:c r="B2" s="106" t="str">
        <x:v>起始频率按管段和四类泄漏场景展开；分支频率之和应与起始频率一致。</x:v>
      </x:c>
      <x:c r="C2" s="106" t="str">
        <x:v>起始频率按管段和四类泄漏场景展开；分支频率之和应与起始频率一致。</x:v>
      </x:c>
      <x:c r="D2" s="106" t="str">
        <x:v>起始频率按管段和四类泄漏场景展开；分支频率之和应与起始频率一致。</x:v>
      </x:c>
      <x:c r="E2" s="106" t="str">
        <x:v>起始频率按管段和四类泄漏场景展开；分支频率之和应与起始频率一致。</x:v>
      </x:c>
      <x:c r="F2" s="106" t="str">
        <x:v>起始频率按管段和四类泄漏场景展开；分支频率之和应与起始频率一致。</x:v>
      </x:c>
      <x:c r="G2" s="106" t="str">
        <x:v>起始频率按管段和四类泄漏场景展开；分支频率之和应与起始频率一致。</x:v>
      </x:c>
      <x:c r="H2" s="106" t="str">
        <x:v>起始频率按管段和四类泄漏场景展开；分支频率之和应与起始频率一致。</x:v>
      </x:c>
      <x:c r="I2" s="106" t="str">
        <x:v>起始频率按管段和四类泄漏场景展开；分支频率之和应与起始频率一致。</x:v>
      </x:c>
      <x:c r="J2" s="106" t="str">
        <x:v>起始频率按管段和四类泄漏场景展开；分支频率之和应与起始频率一致。</x:v>
      </x:c>
      <x:c r="K2" s="106" t="str">
        <x:v>起始频率按管段和四类泄漏场景展开；分支频率之和应与起始频率一致。</x:v>
      </x:c>
      <x:c r="L2" s="106" t="str">
        <x:v>起始频率按管段和四类泄漏场景展开；分支频率之和应与起始频率一致。</x:v>
      </x:c>
      <x:c r="M2" s="106" t="str">
        <x:v>起始频率按管段和四类泄漏场景展开；分支频率之和应与起始频率一致。</x:v>
      </x:c>
      <x:c r="N2" s="106" t="str">
        <x:v>起始频率按管段和四类泄漏场景展开；分支频率之和应与起始频率一致。</x:v>
      </x:c>
    </x:row>
    <x:row r="3">
      <x:c r="A3" s="107"/>
      <x:c r="B3" s="107"/>
      <x:c r="C3" s="107"/>
      <x:c r="D3" s="107"/>
      <x:c r="E3" s="107"/>
      <x:c r="F3" s="107"/>
      <x:c r="G3" s="107"/>
      <x:c r="H3" s="107"/>
      <x:c r="I3" s="107"/>
      <x:c r="J3" s="107"/>
      <x:c r="K3" s="107"/>
      <x:c r="L3" s="107"/>
      <x:c r="M3" s="107"/>
      <x:c r="N3" s="107"/>
    </x:row>
    <x:row r="4" ht="32" customHeight="1">
      <x:c r="A4" s="129" t="str">
        <x:v>频率单位</x:v>
      </x:c>
      <x:c r="B4" s="123" t="str">
        <x:v>per_year</x:v>
      </x:c>
      <x:c r="C4" s="107"/>
      <x:c r="D4" s="122" t="str">
        <x:v>事件树分支</x:v>
      </x:c>
      <x:c r="E4" s="122" t="str">
        <x:v>年频率</x:v>
      </x:c>
      <x:c r="F4" s="107"/>
      <x:c r="G4" s="107"/>
      <x:c r="H4" s="107"/>
      <x:c r="I4" s="107"/>
      <x:c r="J4" s="107"/>
      <x:c r="K4" s="107"/>
      <x:c r="L4" s="107"/>
      <x:c r="M4" s="107"/>
      <x:c r="N4" s="107"/>
    </x:row>
    <x:row r="5" ht="28" customHeight="1">
      <x:c r="A5" s="130" t="str">
        <x:v>起始频率合计</x:v>
      </x:c>
      <x:c r="B5" s="126" t="n">
        <x:v>0.002907</x:v>
      </x:c>
      <x:c r="C5" s="107"/>
      <x:c r="D5" s="123" t="str">
        <x:v>flash_fire</x:v>
      </x:c>
      <x:c r="E5" s="124" t="n">
        <x:v>0.0001853904236834127</x:v>
      </x:c>
      <x:c r="F5" s="107"/>
      <x:c r="G5" s="107"/>
      <x:c r="H5" s="107"/>
      <x:c r="I5" s="107"/>
      <x:c r="J5" s="107"/>
      <x:c r="K5" s="107"/>
      <x:c r="L5" s="107"/>
      <x:c r="M5" s="107"/>
      <x:c r="N5" s="107"/>
    </x:row>
    <x:row r="6" ht="28" customHeight="1">
      <x:c r="A6" s="130" t="str">
        <x:v>分支频率合计</x:v>
      </x:c>
      <x:c r="B6" s="126" t="n">
        <x:v>0.0029070000000000003</x:v>
      </x:c>
      <x:c r="C6" s="107"/>
      <x:c r="D6" s="125" t="str">
        <x:v>jet_fire</x:v>
      </x:c>
      <x:c r="E6" s="126" t="n">
        <x:v>0.0001273203000000004</x:v>
      </x:c>
      <x:c r="F6" s="107"/>
      <x:c r="G6" s="107"/>
      <x:c r="H6" s="107"/>
      <x:c r="I6" s="107"/>
      <x:c r="J6" s="107"/>
      <x:c r="K6" s="107"/>
      <x:c r="L6" s="107"/>
      <x:c r="M6" s="107"/>
      <x:c r="N6" s="107"/>
    </x:row>
    <x:row r="7" ht="28" customHeight="1">
      <x:c r="A7" s="130" t="str">
        <x:v>频率守恒误差</x:v>
      </x:c>
      <x:c r="B7" s="126" t="n">
        <x:v>4.336808689942018e-19</x:v>
      </x:c>
      <x:c r="C7" s="107"/>
      <x:c r="D7" s="125" t="str">
        <x:v>safe_dispersion</x:v>
      </x:c>
      <x:c r="E7" s="126" t="n">
        <x:v>0.0025492226982301463</x:v>
      </x:c>
      <x:c r="F7" s="107"/>
      <x:c r="G7" s="107"/>
      <x:c r="H7" s="107"/>
      <x:c r="I7" s="107"/>
      <x:c r="J7" s="107"/>
      <x:c r="K7" s="107"/>
      <x:c r="L7" s="107"/>
      <x:c r="M7" s="107"/>
      <x:c r="N7" s="107"/>
    </x:row>
    <x:row r="8" ht="28" customHeight="1">
      <x:c r="A8" s="130" t="str">
        <x:v>泄漏点数</x:v>
      </x:c>
      <x:c r="B8" s="125" t="n">
        <x:v>160</x:v>
      </x:c>
      <x:c r="C8" s="107"/>
      <x:c r="D8" s="127" t="str">
        <x:v>vce</x:v>
      </x:c>
      <x:c r="E8" s="128" t="n">
        <x:v>0.000045066578086440844</x:v>
      </x:c>
      <x:c r="F8" s="107"/>
      <x:c r="G8" s="107"/>
      <x:c r="H8" s="107"/>
      <x:c r="I8" s="107"/>
      <x:c r="J8" s="107"/>
      <x:c r="K8" s="107"/>
      <x:c r="L8" s="107"/>
      <x:c r="M8" s="107"/>
      <x:c r="N8" s="107"/>
    </x:row>
    <x:row r="9" ht="28" customHeight="1">
      <x:c r="A9" s="132" t="str">
        <x:v>展开场景数</x:v>
      </x:c>
      <x:c r="B9" s="127" t="n">
        <x:v>20480</x:v>
      </x:c>
      <x:c r="C9" s="107"/>
      <x:c r="D9" s="107"/>
      <x:c r="E9" s="107"/>
      <x:c r="F9" s="107"/>
      <x:c r="G9" s="107"/>
      <x:c r="H9" s="107"/>
      <x:c r="I9" s="107"/>
      <x:c r="J9" s="107"/>
      <x:c r="K9" s="107"/>
      <x:c r="L9" s="107"/>
      <x:c r="M9" s="107"/>
      <x:c r="N9" s="107"/>
    </x:row>
    <x:row r="10">
      <x:c r="A10" s="107"/>
      <x:c r="B10" s="107"/>
      <x:c r="C10" s="107"/>
      <x:c r="D10" s="107"/>
      <x:c r="E10" s="107"/>
      <x:c r="F10" s="107"/>
      <x:c r="G10" s="107"/>
      <x:c r="H10" s="107"/>
      <x:c r="I10" s="107"/>
      <x:c r="J10" s="107"/>
      <x:c r="K10" s="107"/>
      <x:c r="L10" s="107"/>
      <x:c r="M10" s="107"/>
      <x:c r="N10" s="107"/>
    </x:row>
    <x:row r="11">
      <x:c r="A11" s="107"/>
      <x:c r="B11" s="107"/>
      <x:c r="C11" s="107"/>
      <x:c r="D11" s="107"/>
      <x:c r="E11" s="107"/>
      <x:c r="F11" s="107"/>
      <x:c r="G11" s="107"/>
      <x:c r="H11" s="107"/>
      <x:c r="I11" s="107"/>
      <x:c r="J11" s="107"/>
      <x:c r="K11" s="107"/>
      <x:c r="L11" s="107"/>
      <x:c r="M11" s="107"/>
      <x:c r="N11" s="107"/>
    </x:row>
    <x:row r="12" ht="32" customHeight="1">
      <x:c r="A12" s="122" t="str">
        <x:v>管段</x:v>
      </x:c>
      <x:c r="B12" s="122" t="str">
        <x:v>泄漏场景</x:v>
      </x:c>
      <x:c r="C12" s="122" t="str">
        <x:v>年频率</x:v>
      </x:c>
      <x:c r="D12" s="122" t="str">
        <x:v>外腐蚀</x:v>
      </x:c>
      <x:c r="E12" s="122" t="str">
        <x:v>内腐蚀</x:v>
      </x:c>
      <x:c r="F12" s="122" t="str">
        <x:v>SCC</x:v>
      </x:c>
      <x:c r="G12" s="122" t="str">
        <x:v>制造施工</x:v>
      </x:c>
      <x:c r="H12" s="122" t="str">
        <x:v>第三方</x:v>
      </x:c>
      <x:c r="I12" s="122" t="str">
        <x:v>地灾</x:v>
      </x:c>
      <x:c r="J12" s="122" t="str">
        <x:v>误操作</x:v>
      </x:c>
      <x:c r="K12" s="107"/>
      <x:c r="L12" s="107"/>
      <x:c r="M12" s="107"/>
      <x:c r="N12" s="107"/>
    </x:row>
    <x:row r="13" ht="26" customHeight="1">
      <x:c r="A13" s="123" t="str">
        <x:v>SEG-001</x:v>
      </x:c>
      <x:c r="B13" s="123" t="str">
        <x:v>small_5mm</x:v>
      </x:c>
      <x:c r="C13" s="124" t="n">
        <x:v>0.000053425</x:v>
      </x:c>
      <x:c r="D13" s="124" t="n">
        <x:v>0.0000252</x:v>
      </x:c>
      <x:c r="E13" s="124" t="n">
        <x:v>0.000010400000000000002</x:v>
      </x:c>
      <x:c r="F13" s="124" t="n">
        <x:v>0.00000105</x:v>
      </x:c>
      <x:c r="G13" s="124" t="n">
        <x:v>0.0000018</x:v>
      </x:c>
      <x:c r="H13" s="124" t="n">
        <x:v>0.000013124999999999999</x:v>
      </x:c>
      <x:c r="I13" s="124" t="n">
        <x:v>6.000000000000001e-7</x:v>
      </x:c>
      <x:c r="J13" s="124" t="n">
        <x:v>0.00000125</x:v>
      </x:c>
      <x:c r="K13" s="107"/>
      <x:c r="L13" s="107"/>
      <x:c r="M13" s="107"/>
      <x:c r="N13" s="107"/>
    </x:row>
    <x:row r="14" ht="26" customHeight="1">
      <x:c r="A14" s="125" t="str">
        <x:v>SEG-001</x:v>
      </x:c>
      <x:c r="B14" s="125" t="str">
        <x:v>medium_25mm</x:v>
      </x:c>
      <x:c r="C14" s="126" t="n">
        <x:v>0.000027575</x:v>
      </x:c>
      <x:c r="D14" s="126" t="n">
        <x:v>0.0000105</x:v>
      </x:c>
      <x:c r="E14" s="126" t="n">
        <x:v>0.0000032000000000000007</x:v>
      </x:c>
      <x:c r="F14" s="126" t="n">
        <x:v>0.000001575</x:v>
      </x:c>
      <x:c r="G14" s="126" t="n">
        <x:v>0.0000015</x:v>
      </x:c>
      <x:c r="H14" s="126" t="n">
        <x:v>0.000009375</x:v>
      </x:c>
      <x:c r="I14" s="126" t="n">
        <x:v>8.000000000000002e-7</x:v>
      </x:c>
      <x:c r="J14" s="126" t="n">
        <x:v>6.25e-7</x:v>
      </x:c>
      <x:c r="K14" s="107"/>
      <x:c r="L14" s="107"/>
      <x:c r="M14" s="107"/>
      <x:c r="N14" s="107"/>
    </x:row>
    <x:row r="15" ht="26" customHeight="1">
      <x:c r="A15" s="125" t="str">
        <x:v>SEG-001</x:v>
      </x:c>
      <x:c r="B15" s="125" t="str">
        <x:v>large_100mm</x:v>
      </x:c>
      <x:c r="C15" s="126" t="n">
        <x:v>0.000016625</x:v>
      </x:c>
      <x:c r="D15" s="126" t="n">
        <x:v>0.0000042</x:v>
      </x:c>
      <x:c r="E15" s="126" t="n">
        <x:v>0.0000016000000000000004</x:v>
      </x:c>
      <x:c r="F15" s="126" t="n">
        <x:v>0.000002625</x:v>
      </x:c>
      <x:c r="G15" s="126" t="n">
        <x:v>0.0000012000000000000002</x:v>
      </x:c>
      <x:c r="H15" s="126" t="n">
        <x:v>0.0000056249999999999995</x:v>
      </x:c>
      <x:c r="I15" s="126" t="n">
        <x:v>0.0000010000000000000002</x:v>
      </x:c>
      <x:c r="J15" s="126" t="n">
        <x:v>3.75e-7</x:v>
      </x:c>
      <x:c r="K15" s="107"/>
      <x:c r="L15" s="107"/>
      <x:c r="M15" s="107"/>
      <x:c r="N15" s="107"/>
    </x:row>
    <x:row r="16" ht="26" customHeight="1">
      <x:c r="A16" s="125" t="str">
        <x:v>SEG-001</x:v>
      </x:c>
      <x:c r="B16" s="125" t="str">
        <x:v>rupture</x:v>
      </x:c>
      <x:c r="C16" s="126" t="n">
        <x:v>0.000020875</x:v>
      </x:c>
      <x:c r="D16" s="126" t="n">
        <x:v>0.0000021</x:v>
      </x:c>
      <x:c r="E16" s="126" t="n">
        <x:v>8.000000000000002e-7</x:v>
      </x:c>
      <x:c r="F16" s="126" t="n">
        <x:v>0.00000525</x:v>
      </x:c>
      <x:c r="G16" s="126" t="n">
        <x:v>0.0000015</x:v>
      </x:c>
      <x:c r="H16" s="126" t="n">
        <x:v>0.000009375</x:v>
      </x:c>
      <x:c r="I16" s="126" t="n">
        <x:v>0.0000016000000000000004</x:v>
      </x:c>
      <x:c r="J16" s="126" t="n">
        <x:v>2.5000000000000004e-7</x:v>
      </x:c>
      <x:c r="K16" s="107"/>
      <x:c r="L16" s="107"/>
      <x:c r="M16" s="107"/>
      <x:c r="N16" s="107"/>
    </x:row>
    <x:row r="17" ht="26" customHeight="1">
      <x:c r="A17" s="125" t="str">
        <x:v>SEG-002</x:v>
      </x:c>
      <x:c r="B17" s="125" t="str">
        <x:v>small_5mm</x:v>
      </x:c>
      <x:c r="C17" s="126" t="n">
        <x:v>0.000053425</x:v>
      </x:c>
      <x:c r="D17" s="126" t="n">
        <x:v>0.0000252</x:v>
      </x:c>
      <x:c r="E17" s="126" t="n">
        <x:v>0.000010400000000000002</x:v>
      </x:c>
      <x:c r="F17" s="126" t="n">
        <x:v>0.00000105</x:v>
      </x:c>
      <x:c r="G17" s="126" t="n">
        <x:v>0.0000018</x:v>
      </x:c>
      <x:c r="H17" s="126" t="n">
        <x:v>0.000013124999999999999</x:v>
      </x:c>
      <x:c r="I17" s="126" t="n">
        <x:v>6.000000000000001e-7</x:v>
      </x:c>
      <x:c r="J17" s="126" t="n">
        <x:v>0.00000125</x:v>
      </x:c>
      <x:c r="K17" s="107"/>
      <x:c r="L17" s="107"/>
      <x:c r="M17" s="107"/>
      <x:c r="N17" s="107"/>
    </x:row>
    <x:row r="18" ht="26" customHeight="1">
      <x:c r="A18" s="125" t="str">
        <x:v>SEG-002</x:v>
      </x:c>
      <x:c r="B18" s="125" t="str">
        <x:v>medium_25mm</x:v>
      </x:c>
      <x:c r="C18" s="126" t="n">
        <x:v>0.000027575</x:v>
      </x:c>
      <x:c r="D18" s="126" t="n">
        <x:v>0.0000105</x:v>
      </x:c>
      <x:c r="E18" s="126" t="n">
        <x:v>0.0000032000000000000007</x:v>
      </x:c>
      <x:c r="F18" s="126" t="n">
        <x:v>0.000001575</x:v>
      </x:c>
      <x:c r="G18" s="126" t="n">
        <x:v>0.0000015</x:v>
      </x:c>
      <x:c r="H18" s="126" t="n">
        <x:v>0.000009375</x:v>
      </x:c>
      <x:c r="I18" s="126" t="n">
        <x:v>8.000000000000002e-7</x:v>
      </x:c>
      <x:c r="J18" s="126" t="n">
        <x:v>6.25e-7</x:v>
      </x:c>
      <x:c r="K18" s="107"/>
      <x:c r="L18" s="107"/>
      <x:c r="M18" s="107"/>
      <x:c r="N18" s="107"/>
    </x:row>
    <x:row r="19" ht="26" customHeight="1">
      <x:c r="A19" s="125" t="str">
        <x:v>SEG-002</x:v>
      </x:c>
      <x:c r="B19" s="125" t="str">
        <x:v>large_100mm</x:v>
      </x:c>
      <x:c r="C19" s="126" t="n">
        <x:v>0.000016625</x:v>
      </x:c>
      <x:c r="D19" s="126" t="n">
        <x:v>0.0000042</x:v>
      </x:c>
      <x:c r="E19" s="126" t="n">
        <x:v>0.0000016000000000000004</x:v>
      </x:c>
      <x:c r="F19" s="126" t="n">
        <x:v>0.000002625</x:v>
      </x:c>
      <x:c r="G19" s="126" t="n">
        <x:v>0.0000012000000000000002</x:v>
      </x:c>
      <x:c r="H19" s="126" t="n">
        <x:v>0.0000056249999999999995</x:v>
      </x:c>
      <x:c r="I19" s="126" t="n">
        <x:v>0.0000010000000000000002</x:v>
      </x:c>
      <x:c r="J19" s="126" t="n">
        <x:v>3.75e-7</x:v>
      </x:c>
      <x:c r="K19" s="107"/>
      <x:c r="L19" s="107"/>
      <x:c r="M19" s="107"/>
      <x:c r="N19" s="107"/>
    </x:row>
    <x:row r="20" ht="26" customHeight="1">
      <x:c r="A20" s="125" t="str">
        <x:v>SEG-002</x:v>
      </x:c>
      <x:c r="B20" s="125" t="str">
        <x:v>rupture</x:v>
      </x:c>
      <x:c r="C20" s="126" t="n">
        <x:v>0.000020875</x:v>
      </x:c>
      <x:c r="D20" s="126" t="n">
        <x:v>0.0000021</x:v>
      </x:c>
      <x:c r="E20" s="126" t="n">
        <x:v>8.000000000000002e-7</x:v>
      </x:c>
      <x:c r="F20" s="126" t="n">
        <x:v>0.00000525</x:v>
      </x:c>
      <x:c r="G20" s="126" t="n">
        <x:v>0.0000015</x:v>
      </x:c>
      <x:c r="H20" s="126" t="n">
        <x:v>0.000009375</x:v>
      </x:c>
      <x:c r="I20" s="126" t="n">
        <x:v>0.0000016000000000000004</x:v>
      </x:c>
      <x:c r="J20" s="126" t="n">
        <x:v>2.5000000000000004e-7</x:v>
      </x:c>
      <x:c r="K20" s="107"/>
      <x:c r="L20" s="107"/>
      <x:c r="M20" s="107"/>
      <x:c r="N20" s="107"/>
    </x:row>
    <x:row r="21" ht="26" customHeight="1">
      <x:c r="A21" s="125" t="str">
        <x:v>SEG-003</x:v>
      </x:c>
      <x:c r="B21" s="125" t="str">
        <x:v>small_5mm</x:v>
      </x:c>
      <x:c r="C21" s="126" t="n">
        <x:v>0.000053425</x:v>
      </x:c>
      <x:c r="D21" s="126" t="n">
        <x:v>0.0000252</x:v>
      </x:c>
      <x:c r="E21" s="126" t="n">
        <x:v>0.000010400000000000002</x:v>
      </x:c>
      <x:c r="F21" s="126" t="n">
        <x:v>0.00000105</x:v>
      </x:c>
      <x:c r="G21" s="126" t="n">
        <x:v>0.0000018</x:v>
      </x:c>
      <x:c r="H21" s="126" t="n">
        <x:v>0.000013124999999999999</x:v>
      </x:c>
      <x:c r="I21" s="126" t="n">
        <x:v>6.000000000000001e-7</x:v>
      </x:c>
      <x:c r="J21" s="126" t="n">
        <x:v>0.00000125</x:v>
      </x:c>
      <x:c r="K21" s="107"/>
      <x:c r="L21" s="107"/>
      <x:c r="M21" s="107"/>
      <x:c r="N21" s="107"/>
    </x:row>
    <x:row r="22" ht="26" customHeight="1">
      <x:c r="A22" s="125" t="str">
        <x:v>SEG-003</x:v>
      </x:c>
      <x:c r="B22" s="125" t="str">
        <x:v>medium_25mm</x:v>
      </x:c>
      <x:c r="C22" s="126" t="n">
        <x:v>0.000027575</x:v>
      </x:c>
      <x:c r="D22" s="126" t="n">
        <x:v>0.0000105</x:v>
      </x:c>
      <x:c r="E22" s="126" t="n">
        <x:v>0.0000032000000000000007</x:v>
      </x:c>
      <x:c r="F22" s="126" t="n">
        <x:v>0.000001575</x:v>
      </x:c>
      <x:c r="G22" s="126" t="n">
        <x:v>0.0000015</x:v>
      </x:c>
      <x:c r="H22" s="126" t="n">
        <x:v>0.000009375</x:v>
      </x:c>
      <x:c r="I22" s="126" t="n">
        <x:v>8.000000000000002e-7</x:v>
      </x:c>
      <x:c r="J22" s="126" t="n">
        <x:v>6.25e-7</x:v>
      </x:c>
      <x:c r="K22" s="107"/>
      <x:c r="L22" s="107"/>
      <x:c r="M22" s="107"/>
      <x:c r="N22" s="107"/>
    </x:row>
    <x:row r="23" ht="26" customHeight="1">
      <x:c r="A23" s="125" t="str">
        <x:v>SEG-003</x:v>
      </x:c>
      <x:c r="B23" s="125" t="str">
        <x:v>large_100mm</x:v>
      </x:c>
      <x:c r="C23" s="126" t="n">
        <x:v>0.000016625</x:v>
      </x:c>
      <x:c r="D23" s="126" t="n">
        <x:v>0.0000042</x:v>
      </x:c>
      <x:c r="E23" s="126" t="n">
        <x:v>0.0000016000000000000004</x:v>
      </x:c>
      <x:c r="F23" s="126" t="n">
        <x:v>0.000002625</x:v>
      </x:c>
      <x:c r="G23" s="126" t="n">
        <x:v>0.0000012000000000000002</x:v>
      </x:c>
      <x:c r="H23" s="126" t="n">
        <x:v>0.0000056249999999999995</x:v>
      </x:c>
      <x:c r="I23" s="126" t="n">
        <x:v>0.0000010000000000000002</x:v>
      </x:c>
      <x:c r="J23" s="126" t="n">
        <x:v>3.75e-7</x:v>
      </x:c>
      <x:c r="K23" s="107"/>
      <x:c r="L23" s="107"/>
      <x:c r="M23" s="107"/>
      <x:c r="N23" s="107"/>
    </x:row>
    <x:row r="24" ht="26" customHeight="1">
      <x:c r="A24" s="125" t="str">
        <x:v>SEG-003</x:v>
      </x:c>
      <x:c r="B24" s="125" t="str">
        <x:v>rupture</x:v>
      </x:c>
      <x:c r="C24" s="126" t="n">
        <x:v>0.000020875</x:v>
      </x:c>
      <x:c r="D24" s="126" t="n">
        <x:v>0.0000021</x:v>
      </x:c>
      <x:c r="E24" s="126" t="n">
        <x:v>8.000000000000002e-7</x:v>
      </x:c>
      <x:c r="F24" s="126" t="n">
        <x:v>0.00000525</x:v>
      </x:c>
      <x:c r="G24" s="126" t="n">
        <x:v>0.0000015</x:v>
      </x:c>
      <x:c r="H24" s="126" t="n">
        <x:v>0.000009375</x:v>
      </x:c>
      <x:c r="I24" s="126" t="n">
        <x:v>0.0000016000000000000004</x:v>
      </x:c>
      <x:c r="J24" s="126" t="n">
        <x:v>2.5000000000000004e-7</x:v>
      </x:c>
      <x:c r="K24" s="107"/>
      <x:c r="L24" s="107"/>
      <x:c r="M24" s="107"/>
      <x:c r="N24" s="107"/>
    </x:row>
    <x:row r="25" ht="26" customHeight="1">
      <x:c r="A25" s="125" t="str">
        <x:v>SEG-004</x:v>
      </x:c>
      <x:c r="B25" s="125" t="str">
        <x:v>small_5mm</x:v>
      </x:c>
      <x:c r="C25" s="126" t="n">
        <x:v>0.000053425</x:v>
      </x:c>
      <x:c r="D25" s="126" t="n">
        <x:v>0.0000252</x:v>
      </x:c>
      <x:c r="E25" s="126" t="n">
        <x:v>0.000010400000000000002</x:v>
      </x:c>
      <x:c r="F25" s="126" t="n">
        <x:v>0.00000105</x:v>
      </x:c>
      <x:c r="G25" s="126" t="n">
        <x:v>0.0000018</x:v>
      </x:c>
      <x:c r="H25" s="126" t="n">
        <x:v>0.000013124999999999999</x:v>
      </x:c>
      <x:c r="I25" s="126" t="n">
        <x:v>6.000000000000001e-7</x:v>
      </x:c>
      <x:c r="J25" s="126" t="n">
        <x:v>0.00000125</x:v>
      </x:c>
      <x:c r="K25" s="107"/>
      <x:c r="L25" s="107"/>
      <x:c r="M25" s="107"/>
      <x:c r="N25" s="107"/>
    </x:row>
    <x:row r="26" ht="26" customHeight="1">
      <x:c r="A26" s="125" t="str">
        <x:v>SEG-004</x:v>
      </x:c>
      <x:c r="B26" s="125" t="str">
        <x:v>medium_25mm</x:v>
      </x:c>
      <x:c r="C26" s="126" t="n">
        <x:v>0.000027575</x:v>
      </x:c>
      <x:c r="D26" s="126" t="n">
        <x:v>0.0000105</x:v>
      </x:c>
      <x:c r="E26" s="126" t="n">
        <x:v>0.0000032000000000000007</x:v>
      </x:c>
      <x:c r="F26" s="126" t="n">
        <x:v>0.000001575</x:v>
      </x:c>
      <x:c r="G26" s="126" t="n">
        <x:v>0.0000015</x:v>
      </x:c>
      <x:c r="H26" s="126" t="n">
        <x:v>0.000009375</x:v>
      </x:c>
      <x:c r="I26" s="126" t="n">
        <x:v>8.000000000000002e-7</x:v>
      </x:c>
      <x:c r="J26" s="126" t="n">
        <x:v>6.25e-7</x:v>
      </x:c>
      <x:c r="K26" s="107"/>
      <x:c r="L26" s="107"/>
      <x:c r="M26" s="107"/>
      <x:c r="N26" s="107"/>
    </x:row>
    <x:row r="27" ht="26" customHeight="1">
      <x:c r="A27" s="125" t="str">
        <x:v>SEG-004</x:v>
      </x:c>
      <x:c r="B27" s="125" t="str">
        <x:v>large_100mm</x:v>
      </x:c>
      <x:c r="C27" s="126" t="n">
        <x:v>0.000016625</x:v>
      </x:c>
      <x:c r="D27" s="126" t="n">
        <x:v>0.0000042</x:v>
      </x:c>
      <x:c r="E27" s="126" t="n">
        <x:v>0.0000016000000000000004</x:v>
      </x:c>
      <x:c r="F27" s="126" t="n">
        <x:v>0.000002625</x:v>
      </x:c>
      <x:c r="G27" s="126" t="n">
        <x:v>0.0000012000000000000002</x:v>
      </x:c>
      <x:c r="H27" s="126" t="n">
        <x:v>0.0000056249999999999995</x:v>
      </x:c>
      <x:c r="I27" s="126" t="n">
        <x:v>0.0000010000000000000002</x:v>
      </x:c>
      <x:c r="J27" s="126" t="n">
        <x:v>3.75e-7</x:v>
      </x:c>
      <x:c r="K27" s="107"/>
      <x:c r="L27" s="107"/>
      <x:c r="M27" s="107"/>
      <x:c r="N27" s="107"/>
    </x:row>
    <x:row r="28" ht="26" customHeight="1">
      <x:c r="A28" s="125" t="str">
        <x:v>SEG-004</x:v>
      </x:c>
      <x:c r="B28" s="125" t="str">
        <x:v>rupture</x:v>
      </x:c>
      <x:c r="C28" s="126" t="n">
        <x:v>0.000020875</x:v>
      </x:c>
      <x:c r="D28" s="126" t="n">
        <x:v>0.0000021</x:v>
      </x:c>
      <x:c r="E28" s="126" t="n">
        <x:v>8.000000000000002e-7</x:v>
      </x:c>
      <x:c r="F28" s="126" t="n">
        <x:v>0.00000525</x:v>
      </x:c>
      <x:c r="G28" s="126" t="n">
        <x:v>0.0000015</x:v>
      </x:c>
      <x:c r="H28" s="126" t="n">
        <x:v>0.000009375</x:v>
      </x:c>
      <x:c r="I28" s="126" t="n">
        <x:v>0.0000016000000000000004</x:v>
      </x:c>
      <x:c r="J28" s="126" t="n">
        <x:v>2.5000000000000004e-7</x:v>
      </x:c>
      <x:c r="K28" s="107"/>
      <x:c r="L28" s="107"/>
      <x:c r="M28" s="107"/>
      <x:c r="N28" s="107"/>
    </x:row>
    <x:row r="29" ht="26" customHeight="1">
      <x:c r="A29" s="125" t="str">
        <x:v>SEG-005</x:v>
      </x:c>
      <x:c r="B29" s="125" t="str">
        <x:v>small_5mm</x:v>
      </x:c>
      <x:c r="C29" s="126" t="n">
        <x:v>0.00006727</x:v>
      </x:c>
      <x:c r="D29" s="126" t="n">
        <x:v>0.000022680000000000003</x:v>
      </x:c>
      <x:c r="E29" s="126" t="n">
        <x:v>0.000007280000000000001</x:v>
      </x:c>
      <x:c r="F29" s="126" t="n">
        <x:v>8.4e-7</x:v>
      </x:c>
      <x:c r="G29" s="126" t="n">
        <x:v>0.00000147</x:v>
      </x:c>
      <x:c r="H29" s="126" t="n">
        <x:v>0.000033075</x:v>
      </x:c>
      <x:c r="I29" s="126" t="n">
        <x:v>5.25e-7</x:v>
      </x:c>
      <x:c r="J29" s="126" t="n">
        <x:v>0.0000014000000000000001</x:v>
      </x:c>
      <x:c r="K29" s="107"/>
      <x:c r="L29" s="107"/>
      <x:c r="M29" s="107"/>
      <x:c r="N29" s="107"/>
    </x:row>
    <x:row r="30" ht="26" customHeight="1">
      <x:c r="A30" s="125" t="str">
        <x:v>SEG-005</x:v>
      </x:c>
      <x:c r="B30" s="125" t="str">
        <x:v>medium_25mm</x:v>
      </x:c>
      <x:c r="C30" s="126" t="n">
        <x:v>0.0000392</x:v>
      </x:c>
      <x:c r="D30" s="126" t="n">
        <x:v>0.000009450000000000001</x:v>
      </x:c>
      <x:c r="E30" s="126" t="n">
        <x:v>0.00000224</x:v>
      </x:c>
      <x:c r="F30" s="126" t="n">
        <x:v>0.0000012599999999999998</x:v>
      </x:c>
      <x:c r="G30" s="126" t="n">
        <x:v>0.000001225</x:v>
      </x:c>
      <x:c r="H30" s="126" t="n">
        <x:v>0.000023624999999999998</x:v>
      </x:c>
      <x:c r="I30" s="126" t="n">
        <x:v>7.000000000000001e-7</x:v>
      </x:c>
      <x:c r="J30" s="126" t="n">
        <x:v>7.000000000000001e-7</x:v>
      </x:c>
      <x:c r="K30" s="107"/>
      <x:c r="L30" s="107"/>
      <x:c r="M30" s="107"/>
      <x:c r="N30" s="107"/>
    </x:row>
    <x:row r="31" ht="26" customHeight="1">
      <x:c r="A31" s="125" t="str">
        <x:v>SEG-005</x:v>
      </x:c>
      <x:c r="B31" s="125" t="str">
        <x:v>large_100mm</x:v>
      </x:c>
      <x:c r="C31" s="126" t="n">
        <x:v>0.00002345</x:v>
      </x:c>
      <x:c r="D31" s="126" t="n">
        <x:v>0.0000037800000000000007</x:v>
      </x:c>
      <x:c r="E31" s="126" t="n">
        <x:v>0.00000112</x:v>
      </x:c>
      <x:c r="F31" s="126" t="n">
        <x:v>0.0000021</x:v>
      </x:c>
      <x:c r="G31" s="126" t="n">
        <x:v>9.8e-7</x:v>
      </x:c>
      <x:c r="H31" s="126" t="n">
        <x:v>0.000014174999999999999</x:v>
      </x:c>
      <x:c r="I31" s="126" t="n">
        <x:v>8.75e-7</x:v>
      </x:c>
      <x:c r="J31" s="126" t="n">
        <x:v>4.2000000000000006e-7</x:v>
      </x:c>
      <x:c r="K31" s="107"/>
      <x:c r="L31" s="107"/>
      <x:c r="M31" s="107"/>
      <x:c r="N31" s="107"/>
    </x:row>
    <x:row r="32" ht="26" customHeight="1">
      <x:c r="A32" s="125" t="str">
        <x:v>SEG-005</x:v>
      </x:c>
      <x:c r="B32" s="125" t="str">
        <x:v>rupture</x:v>
      </x:c>
      <x:c r="C32" s="126" t="n">
        <x:v>0.00003318</x:v>
      </x:c>
      <x:c r="D32" s="126" t="n">
        <x:v>0.0000018900000000000003</x:v>
      </x:c>
      <x:c r="E32" s="126" t="n">
        <x:v>5.6e-7</x:v>
      </x:c>
      <x:c r="F32" s="126" t="n">
        <x:v>0.0000042</x:v>
      </x:c>
      <x:c r="G32" s="126" t="n">
        <x:v>0.000001225</x:v>
      </x:c>
      <x:c r="H32" s="126" t="n">
        <x:v>0.000023624999999999998</x:v>
      </x:c>
      <x:c r="I32" s="126" t="n">
        <x:v>0.0000014000000000000001</x:v>
      </x:c>
      <x:c r="J32" s="126" t="n">
        <x:v>2.8e-7</x:v>
      </x:c>
      <x:c r="K32" s="107"/>
      <x:c r="L32" s="107"/>
      <x:c r="M32" s="107"/>
      <x:c r="N32" s="107"/>
    </x:row>
    <x:row r="33" ht="26" customHeight="1">
      <x:c r="A33" s="125" t="str">
        <x:v>SEG-006</x:v>
      </x:c>
      <x:c r="B33" s="125" t="str">
        <x:v>small_5mm</x:v>
      </x:c>
      <x:c r="C33" s="126" t="n">
        <x:v>0.00006727</x:v>
      </x:c>
      <x:c r="D33" s="126" t="n">
        <x:v>0.000022680000000000003</x:v>
      </x:c>
      <x:c r="E33" s="126" t="n">
        <x:v>0.000007280000000000001</x:v>
      </x:c>
      <x:c r="F33" s="126" t="n">
        <x:v>8.4e-7</x:v>
      </x:c>
      <x:c r="G33" s="126" t="n">
        <x:v>0.00000147</x:v>
      </x:c>
      <x:c r="H33" s="126" t="n">
        <x:v>0.000033075</x:v>
      </x:c>
      <x:c r="I33" s="126" t="n">
        <x:v>5.25e-7</x:v>
      </x:c>
      <x:c r="J33" s="126" t="n">
        <x:v>0.0000014000000000000001</x:v>
      </x:c>
      <x:c r="K33" s="107"/>
      <x:c r="L33" s="107"/>
      <x:c r="M33" s="107"/>
      <x:c r="N33" s="107"/>
    </x:row>
    <x:row r="34" ht="26" customHeight="1">
      <x:c r="A34" s="125" t="str">
        <x:v>SEG-006</x:v>
      </x:c>
      <x:c r="B34" s="125" t="str">
        <x:v>medium_25mm</x:v>
      </x:c>
      <x:c r="C34" s="126" t="n">
        <x:v>0.0000392</x:v>
      </x:c>
      <x:c r="D34" s="126" t="n">
        <x:v>0.000009450000000000001</x:v>
      </x:c>
      <x:c r="E34" s="126" t="n">
        <x:v>0.00000224</x:v>
      </x:c>
      <x:c r="F34" s="126" t="n">
        <x:v>0.0000012599999999999998</x:v>
      </x:c>
      <x:c r="G34" s="126" t="n">
        <x:v>0.000001225</x:v>
      </x:c>
      <x:c r="H34" s="126" t="n">
        <x:v>0.000023624999999999998</x:v>
      </x:c>
      <x:c r="I34" s="126" t="n">
        <x:v>7.000000000000001e-7</x:v>
      </x:c>
      <x:c r="J34" s="126" t="n">
        <x:v>7.000000000000001e-7</x:v>
      </x:c>
      <x:c r="K34" s="107"/>
      <x:c r="L34" s="107"/>
      <x:c r="M34" s="107"/>
      <x:c r="N34" s="107"/>
    </x:row>
    <x:row r="35" ht="26" customHeight="1">
      <x:c r="A35" s="125" t="str">
        <x:v>SEG-006</x:v>
      </x:c>
      <x:c r="B35" s="125" t="str">
        <x:v>large_100mm</x:v>
      </x:c>
      <x:c r="C35" s="126" t="n">
        <x:v>0.00002345</x:v>
      </x:c>
      <x:c r="D35" s="126" t="n">
        <x:v>0.0000037800000000000007</x:v>
      </x:c>
      <x:c r="E35" s="126" t="n">
        <x:v>0.00000112</x:v>
      </x:c>
      <x:c r="F35" s="126" t="n">
        <x:v>0.0000021</x:v>
      </x:c>
      <x:c r="G35" s="126" t="n">
        <x:v>9.8e-7</x:v>
      </x:c>
      <x:c r="H35" s="126" t="n">
        <x:v>0.000014174999999999999</x:v>
      </x:c>
      <x:c r="I35" s="126" t="n">
        <x:v>8.75e-7</x:v>
      </x:c>
      <x:c r="J35" s="126" t="n">
        <x:v>4.2000000000000006e-7</x:v>
      </x:c>
      <x:c r="K35" s="107"/>
      <x:c r="L35" s="107"/>
      <x:c r="M35" s="107"/>
      <x:c r="N35" s="107"/>
    </x:row>
    <x:row r="36" ht="26" customHeight="1">
      <x:c r="A36" s="125" t="str">
        <x:v>SEG-006</x:v>
      </x:c>
      <x:c r="B36" s="125" t="str">
        <x:v>rupture</x:v>
      </x:c>
      <x:c r="C36" s="126" t="n">
        <x:v>0.00003318</x:v>
      </x:c>
      <x:c r="D36" s="126" t="n">
        <x:v>0.0000018900000000000003</x:v>
      </x:c>
      <x:c r="E36" s="126" t="n">
        <x:v>5.6e-7</x:v>
      </x:c>
      <x:c r="F36" s="126" t="n">
        <x:v>0.0000042</x:v>
      </x:c>
      <x:c r="G36" s="126" t="n">
        <x:v>0.000001225</x:v>
      </x:c>
      <x:c r="H36" s="126" t="n">
        <x:v>0.000023624999999999998</x:v>
      </x:c>
      <x:c r="I36" s="126" t="n">
        <x:v>0.0000014000000000000001</x:v>
      </x:c>
      <x:c r="J36" s="126" t="n">
        <x:v>2.8e-7</x:v>
      </x:c>
      <x:c r="K36" s="107"/>
      <x:c r="L36" s="107"/>
      <x:c r="M36" s="107"/>
      <x:c r="N36" s="107"/>
    </x:row>
    <x:row r="37" ht="26" customHeight="1">
      <x:c r="A37" s="125" t="str">
        <x:v>SEG-007</x:v>
      </x:c>
      <x:c r="B37" s="125" t="str">
        <x:v>small_5mm</x:v>
      </x:c>
      <x:c r="C37" s="126" t="n">
        <x:v>0.00007688000000000001</x:v>
      </x:c>
      <x:c r="D37" s="126" t="n">
        <x:v>0.000025920000000000003</x:v>
      </x:c>
      <x:c r="E37" s="126" t="n">
        <x:v>0.000008320000000000002</x:v>
      </x:c>
      <x:c r="F37" s="126" t="n">
        <x:v>9.600000000000001e-7</x:v>
      </x:c>
      <x:c r="G37" s="126" t="n">
        <x:v>0.0000016800000000000002</x:v>
      </x:c>
      <x:c r="H37" s="126" t="n">
        <x:v>0.000037800000000000004</x:v>
      </x:c>
      <x:c r="I37" s="126" t="n">
        <x:v>6.000000000000001e-7</x:v>
      </x:c>
      <x:c r="J37" s="126" t="n">
        <x:v>0.0000016000000000000004</x:v>
      </x:c>
      <x:c r="K37" s="107"/>
      <x:c r="L37" s="107"/>
      <x:c r="M37" s="107"/>
      <x:c r="N37" s="107"/>
    </x:row>
    <x:row r="38" ht="26" customHeight="1">
      <x:c r="A38" s="125" t="str">
        <x:v>SEG-007</x:v>
      </x:c>
      <x:c r="B38" s="125" t="str">
        <x:v>medium_25mm</x:v>
      </x:c>
      <x:c r="C38" s="126" t="n">
        <x:v>0.000044800000000000005</x:v>
      </x:c>
      <x:c r="D38" s="126" t="n">
        <x:v>0.000010800000000000002</x:v>
      </x:c>
      <x:c r="E38" s="126" t="n">
        <x:v>0.000002560000000000001</x:v>
      </x:c>
      <x:c r="F38" s="126" t="n">
        <x:v>0.0000014400000000000002</x:v>
      </x:c>
      <x:c r="G38" s="126" t="n">
        <x:v>0.0000014000000000000001</x:v>
      </x:c>
      <x:c r="H38" s="126" t="n">
        <x:v>0.000027000000000000002</x:v>
      </x:c>
      <x:c r="I38" s="126" t="n">
        <x:v>8.000000000000002e-7</x:v>
      </x:c>
      <x:c r="J38" s="126" t="n">
        <x:v>8.000000000000002e-7</x:v>
      </x:c>
      <x:c r="K38" s="107"/>
      <x:c r="L38" s="107"/>
      <x:c r="M38" s="107"/>
      <x:c r="N38" s="107"/>
    </x:row>
    <x:row r="39" ht="26" customHeight="1">
      <x:c r="A39" s="125" t="str">
        <x:v>SEG-007</x:v>
      </x:c>
      <x:c r="B39" s="125" t="str">
        <x:v>large_100mm</x:v>
      </x:c>
      <x:c r="C39" s="126" t="n">
        <x:v>0.000026800000000000004</x:v>
      </x:c>
      <x:c r="D39" s="126" t="n">
        <x:v>0.000004320000000000001</x:v>
      </x:c>
      <x:c r="E39" s="126" t="n">
        <x:v>0.0000012800000000000005</x:v>
      </x:c>
      <x:c r="F39" s="126" t="n">
        <x:v>0.0000024000000000000003</x:v>
      </x:c>
      <x:c r="G39" s="126" t="n">
        <x:v>0.00000112</x:v>
      </x:c>
      <x:c r="H39" s="126" t="n">
        <x:v>0.0000162</x:v>
      </x:c>
      <x:c r="I39" s="126" t="n">
        <x:v>0.0000010000000000000002</x:v>
      </x:c>
      <x:c r="J39" s="126" t="n">
        <x:v>4.800000000000001e-7</x:v>
      </x:c>
      <x:c r="K39" s="107"/>
      <x:c r="L39" s="107"/>
      <x:c r="M39" s="107"/>
      <x:c r="N39" s="107"/>
    </x:row>
    <x:row r="40" ht="26" customHeight="1">
      <x:c r="A40" s="125" t="str">
        <x:v>SEG-007</x:v>
      </x:c>
      <x:c r="B40" s="125" t="str">
        <x:v>rupture</x:v>
      </x:c>
      <x:c r="C40" s="126" t="n">
        <x:v>0.00003792</x:v>
      </x:c>
      <x:c r="D40" s="126" t="n">
        <x:v>0.0000021600000000000005</x:v>
      </x:c>
      <x:c r="E40" s="126" t="n">
        <x:v>6.400000000000002e-7</x:v>
      </x:c>
      <x:c r="F40" s="126" t="n">
        <x:v>0.000004800000000000001</x:v>
      </x:c>
      <x:c r="G40" s="126" t="n">
        <x:v>0.0000014000000000000001</x:v>
      </x:c>
      <x:c r="H40" s="126" t="n">
        <x:v>0.000027000000000000002</x:v>
      </x:c>
      <x:c r="I40" s="126" t="n">
        <x:v>0.0000016000000000000004</x:v>
      </x:c>
      <x:c r="J40" s="126" t="n">
        <x:v>3.200000000000001e-7</x:v>
      </x:c>
      <x:c r="K40" s="107"/>
      <x:c r="L40" s="107"/>
      <x:c r="M40" s="107"/>
      <x:c r="N40" s="107"/>
    </x:row>
    <x:row r="41" ht="26" customHeight="1">
      <x:c r="A41" s="125" t="str">
        <x:v>SEG-008</x:v>
      </x:c>
      <x:c r="B41" s="125" t="str">
        <x:v>small_5mm</x:v>
      </x:c>
      <x:c r="C41" s="126" t="n">
        <x:v>0.00007688000000000001</x:v>
      </x:c>
      <x:c r="D41" s="126" t="n">
        <x:v>0.000025920000000000003</x:v>
      </x:c>
      <x:c r="E41" s="126" t="n">
        <x:v>0.000008320000000000002</x:v>
      </x:c>
      <x:c r="F41" s="126" t="n">
        <x:v>9.600000000000001e-7</x:v>
      </x:c>
      <x:c r="G41" s="126" t="n">
        <x:v>0.0000016800000000000002</x:v>
      </x:c>
      <x:c r="H41" s="126" t="n">
        <x:v>0.000037800000000000004</x:v>
      </x:c>
      <x:c r="I41" s="126" t="n">
        <x:v>6.000000000000001e-7</x:v>
      </x:c>
      <x:c r="J41" s="126" t="n">
        <x:v>0.0000016000000000000004</x:v>
      </x:c>
      <x:c r="K41" s="107"/>
      <x:c r="L41" s="107"/>
      <x:c r="M41" s="107"/>
      <x:c r="N41" s="107"/>
    </x:row>
    <x:row r="42" ht="26" customHeight="1">
      <x:c r="A42" s="125" t="str">
        <x:v>SEG-008</x:v>
      </x:c>
      <x:c r="B42" s="125" t="str">
        <x:v>medium_25mm</x:v>
      </x:c>
      <x:c r="C42" s="126" t="n">
        <x:v>0.000044800000000000005</x:v>
      </x:c>
      <x:c r="D42" s="126" t="n">
        <x:v>0.000010800000000000002</x:v>
      </x:c>
      <x:c r="E42" s="126" t="n">
        <x:v>0.000002560000000000001</x:v>
      </x:c>
      <x:c r="F42" s="126" t="n">
        <x:v>0.0000014400000000000002</x:v>
      </x:c>
      <x:c r="G42" s="126" t="n">
        <x:v>0.0000014000000000000001</x:v>
      </x:c>
      <x:c r="H42" s="126" t="n">
        <x:v>0.000027000000000000002</x:v>
      </x:c>
      <x:c r="I42" s="126" t="n">
        <x:v>8.000000000000002e-7</x:v>
      </x:c>
      <x:c r="J42" s="126" t="n">
        <x:v>8.000000000000002e-7</x:v>
      </x:c>
      <x:c r="K42" s="107"/>
      <x:c r="L42" s="107"/>
      <x:c r="M42" s="107"/>
      <x:c r="N42" s="107"/>
    </x:row>
    <x:row r="43" ht="26" customHeight="1">
      <x:c r="A43" s="125" t="str">
        <x:v>SEG-008</x:v>
      </x:c>
      <x:c r="B43" s="125" t="str">
        <x:v>large_100mm</x:v>
      </x:c>
      <x:c r="C43" s="126" t="n">
        <x:v>0.000026800000000000004</x:v>
      </x:c>
      <x:c r="D43" s="126" t="n">
        <x:v>0.000004320000000000001</x:v>
      </x:c>
      <x:c r="E43" s="126" t="n">
        <x:v>0.0000012800000000000005</x:v>
      </x:c>
      <x:c r="F43" s="126" t="n">
        <x:v>0.0000024000000000000003</x:v>
      </x:c>
      <x:c r="G43" s="126" t="n">
        <x:v>0.00000112</x:v>
      </x:c>
      <x:c r="H43" s="126" t="n">
        <x:v>0.0000162</x:v>
      </x:c>
      <x:c r="I43" s="126" t="n">
        <x:v>0.0000010000000000000002</x:v>
      </x:c>
      <x:c r="J43" s="126" t="n">
        <x:v>4.800000000000001e-7</x:v>
      </x:c>
      <x:c r="K43" s="107"/>
      <x:c r="L43" s="107"/>
      <x:c r="M43" s="107"/>
      <x:c r="N43" s="107"/>
    </x:row>
    <x:row r="44" ht="26" customHeight="1">
      <x:c r="A44" s="125" t="str">
        <x:v>SEG-008</x:v>
      </x:c>
      <x:c r="B44" s="125" t="str">
        <x:v>rupture</x:v>
      </x:c>
      <x:c r="C44" s="126" t="n">
        <x:v>0.00003792</x:v>
      </x:c>
      <x:c r="D44" s="126" t="n">
        <x:v>0.0000021600000000000005</x:v>
      </x:c>
      <x:c r="E44" s="126" t="n">
        <x:v>6.400000000000002e-7</x:v>
      </x:c>
      <x:c r="F44" s="126" t="n">
        <x:v>0.000004800000000000001</x:v>
      </x:c>
      <x:c r="G44" s="126" t="n">
        <x:v>0.0000014000000000000001</x:v>
      </x:c>
      <x:c r="H44" s="126" t="n">
        <x:v>0.000027000000000000002</x:v>
      </x:c>
      <x:c r="I44" s="126" t="n">
        <x:v>0.0000016000000000000004</x:v>
      </x:c>
      <x:c r="J44" s="126" t="n">
        <x:v>3.200000000000001e-7</x:v>
      </x:c>
      <x:c r="K44" s="107"/>
      <x:c r="L44" s="107"/>
      <x:c r="M44" s="107"/>
      <x:c r="N44" s="107"/>
    </x:row>
    <x:row r="45" ht="26" customHeight="1">
      <x:c r="A45" s="125" t="str">
        <x:v>SEG-009</x:v>
      </x:c>
      <x:c r="B45" s="125" t="str">
        <x:v>small_5mm</x:v>
      </x:c>
      <x:c r="C45" s="126" t="n">
        <x:v>0.000056235</x:v>
      </x:c>
      <x:c r="D45" s="126" t="n">
        <x:v>0.0000216</x:v>
      </x:c>
      <x:c r="E45" s="126" t="n">
        <x:v>0.0000070200000000000006</x:v>
      </x:c>
      <x:c r="F45" s="126" t="n">
        <x:v>9.000000000000001e-7</x:v>
      </x:c>
      <x:c r="G45" s="126" t="n">
        <x:v>0.0000014400000000000002</x:v>
      </x:c>
      <x:c r="H45" s="126" t="n">
        <x:v>0.000023624999999999998</x:v>
      </x:c>
      <x:c r="I45" s="126" t="n">
        <x:v>4.5e-7</x:v>
      </x:c>
      <x:c r="J45" s="126" t="n">
        <x:v>0.0000012000000000000002</x:v>
      </x:c>
      <x:c r="K45" s="107"/>
      <x:c r="L45" s="107"/>
      <x:c r="M45" s="107"/>
      <x:c r="N45" s="107"/>
    </x:row>
    <x:row r="46" ht="26" customHeight="1">
      <x:c r="A46" s="125" t="str">
        <x:v>SEG-009</x:v>
      </x:c>
      <x:c r="B46" s="125" t="str">
        <x:v>medium_25mm</x:v>
      </x:c>
      <x:c r="C46" s="126" t="n">
        <x:v>0.000031785</x:v>
      </x:c>
      <x:c r="D46" s="126" t="n">
        <x:v>0.000009</x:v>
      </x:c>
      <x:c r="E46" s="126" t="n">
        <x:v>0.00000216</x:v>
      </x:c>
      <x:c r="F46" s="126" t="n">
        <x:v>0.00000135</x:v>
      </x:c>
      <x:c r="G46" s="126" t="n">
        <x:v>0.0000012000000000000002</x:v>
      </x:c>
      <x:c r="H46" s="126" t="n">
        <x:v>0.000016875</x:v>
      </x:c>
      <x:c r="I46" s="126" t="n">
        <x:v>6.000000000000001e-7</x:v>
      </x:c>
      <x:c r="J46" s="126" t="n">
        <x:v>6.000000000000001e-7</x:v>
      </x:c>
      <x:c r="K46" s="107"/>
      <x:c r="L46" s="107"/>
      <x:c r="M46" s="107"/>
      <x:c r="N46" s="107"/>
    </x:row>
    <x:row r="47" ht="26" customHeight="1">
      <x:c r="A47" s="125" t="str">
        <x:v>SEG-009</x:v>
      </x:c>
      <x:c r="B47" s="125" t="str">
        <x:v>large_100mm</x:v>
      </x:c>
      <x:c r="C47" s="126" t="n">
        <x:v>0.000019125</x:v>
      </x:c>
      <x:c r="D47" s="126" t="n">
        <x:v>0.0000036000000000000003</x:v>
      </x:c>
      <x:c r="E47" s="126" t="n">
        <x:v>0.00000108</x:v>
      </x:c>
      <x:c r="F47" s="126" t="n">
        <x:v>0.00000225</x:v>
      </x:c>
      <x:c r="G47" s="126" t="n">
        <x:v>9.600000000000001e-7</x:v>
      </x:c>
      <x:c r="H47" s="126" t="n">
        <x:v>0.000010125</x:v>
      </x:c>
      <x:c r="I47" s="126" t="n">
        <x:v>7.5e-7</x:v>
      </x:c>
      <x:c r="J47" s="126" t="n">
        <x:v>3.6000000000000005e-7</x:v>
      </x:c>
      <x:c r="K47" s="107"/>
      <x:c r="L47" s="107"/>
      <x:c r="M47" s="107"/>
      <x:c r="N47" s="107"/>
    </x:row>
    <x:row r="48" ht="26" customHeight="1">
      <x:c r="A48" s="125" t="str">
        <x:v>SEG-009</x:v>
      </x:c>
      <x:c r="B48" s="125" t="str">
        <x:v>rupture</x:v>
      </x:c>
      <x:c r="C48" s="126" t="n">
        <x:v>0.000026355</x:v>
      </x:c>
      <x:c r="D48" s="126" t="n">
        <x:v>0.0000018000000000000001</x:v>
      </x:c>
      <x:c r="E48" s="126" t="n">
        <x:v>5.4e-7</x:v>
      </x:c>
      <x:c r="F48" s="126" t="n">
        <x:v>0.0000045</x:v>
      </x:c>
      <x:c r="G48" s="126" t="n">
        <x:v>0.0000012000000000000002</x:v>
      </x:c>
      <x:c r="H48" s="126" t="n">
        <x:v>0.000016875</x:v>
      </x:c>
      <x:c r="I48" s="126" t="n">
        <x:v>0.0000012000000000000002</x:v>
      </x:c>
      <x:c r="J48" s="126" t="n">
        <x:v>2.4000000000000003e-7</x:v>
      </x:c>
      <x:c r="K48" s="107"/>
      <x:c r="L48" s="107"/>
      <x:c r="M48" s="107"/>
      <x:c r="N48" s="107"/>
    </x:row>
    <x:row r="49" ht="26" customHeight="1">
      <x:c r="A49" s="125" t="str">
        <x:v>SEG-010</x:v>
      </x:c>
      <x:c r="B49" s="125" t="str">
        <x:v>small_5mm</x:v>
      </x:c>
      <x:c r="C49" s="126" t="n">
        <x:v>0.000056235</x:v>
      </x:c>
      <x:c r="D49" s="126" t="n">
        <x:v>0.0000216</x:v>
      </x:c>
      <x:c r="E49" s="126" t="n">
        <x:v>0.0000070200000000000006</x:v>
      </x:c>
      <x:c r="F49" s="126" t="n">
        <x:v>9.000000000000001e-7</x:v>
      </x:c>
      <x:c r="G49" s="126" t="n">
        <x:v>0.0000014400000000000002</x:v>
      </x:c>
      <x:c r="H49" s="126" t="n">
        <x:v>0.000023624999999999998</x:v>
      </x:c>
      <x:c r="I49" s="126" t="n">
        <x:v>4.5e-7</x:v>
      </x:c>
      <x:c r="J49" s="126" t="n">
        <x:v>0.0000012000000000000002</x:v>
      </x:c>
      <x:c r="K49" s="107"/>
      <x:c r="L49" s="107"/>
      <x:c r="M49" s="107"/>
      <x:c r="N49" s="107"/>
    </x:row>
    <x:row r="50" ht="26" customHeight="1">
      <x:c r="A50" s="125" t="str">
        <x:v>SEG-010</x:v>
      </x:c>
      <x:c r="B50" s="125" t="str">
        <x:v>medium_25mm</x:v>
      </x:c>
      <x:c r="C50" s="126" t="n">
        <x:v>0.000031785</x:v>
      </x:c>
      <x:c r="D50" s="126" t="n">
        <x:v>0.000009</x:v>
      </x:c>
      <x:c r="E50" s="126" t="n">
        <x:v>0.00000216</x:v>
      </x:c>
      <x:c r="F50" s="126" t="n">
        <x:v>0.00000135</x:v>
      </x:c>
      <x:c r="G50" s="126" t="n">
        <x:v>0.0000012000000000000002</x:v>
      </x:c>
      <x:c r="H50" s="126" t="n">
        <x:v>0.000016875</x:v>
      </x:c>
      <x:c r="I50" s="126" t="n">
        <x:v>6.000000000000001e-7</x:v>
      </x:c>
      <x:c r="J50" s="126" t="n">
        <x:v>6.000000000000001e-7</x:v>
      </x:c>
      <x:c r="K50" s="107"/>
      <x:c r="L50" s="107"/>
      <x:c r="M50" s="107"/>
      <x:c r="N50" s="107"/>
    </x:row>
    <x:row r="51" ht="26" customHeight="1">
      <x:c r="A51" s="125" t="str">
        <x:v>SEG-010</x:v>
      </x:c>
      <x:c r="B51" s="125" t="str">
        <x:v>large_100mm</x:v>
      </x:c>
      <x:c r="C51" s="126" t="n">
        <x:v>0.000019125</x:v>
      </x:c>
      <x:c r="D51" s="126" t="n">
        <x:v>0.0000036000000000000003</x:v>
      </x:c>
      <x:c r="E51" s="126" t="n">
        <x:v>0.00000108</x:v>
      </x:c>
      <x:c r="F51" s="126" t="n">
        <x:v>0.00000225</x:v>
      </x:c>
      <x:c r="G51" s="126" t="n">
        <x:v>9.600000000000001e-7</x:v>
      </x:c>
      <x:c r="H51" s="126" t="n">
        <x:v>0.000010125</x:v>
      </x:c>
      <x:c r="I51" s="126" t="n">
        <x:v>7.5e-7</x:v>
      </x:c>
      <x:c r="J51" s="126" t="n">
        <x:v>3.6000000000000005e-7</x:v>
      </x:c>
      <x:c r="K51" s="107"/>
      <x:c r="L51" s="107"/>
      <x:c r="M51" s="107"/>
      <x:c r="N51" s="107"/>
    </x:row>
    <x:row r="52" ht="26" customHeight="1">
      <x:c r="A52" s="125" t="str">
        <x:v>SEG-010</x:v>
      </x:c>
      <x:c r="B52" s="125" t="str">
        <x:v>rupture</x:v>
      </x:c>
      <x:c r="C52" s="126" t="n">
        <x:v>0.000026355</x:v>
      </x:c>
      <x:c r="D52" s="126" t="n">
        <x:v>0.0000018000000000000001</x:v>
      </x:c>
      <x:c r="E52" s="126" t="n">
        <x:v>5.4e-7</x:v>
      </x:c>
      <x:c r="F52" s="126" t="n">
        <x:v>0.0000045</x:v>
      </x:c>
      <x:c r="G52" s="126" t="n">
        <x:v>0.0000012000000000000002</x:v>
      </x:c>
      <x:c r="H52" s="126" t="n">
        <x:v>0.000016875</x:v>
      </x:c>
      <x:c r="I52" s="126" t="n">
        <x:v>0.0000012000000000000002</x:v>
      </x:c>
      <x:c r="J52" s="126" t="n">
        <x:v>2.4000000000000003e-7</x:v>
      </x:c>
      <x:c r="K52" s="107"/>
      <x:c r="L52" s="107"/>
      <x:c r="M52" s="107"/>
      <x:c r="N52" s="107"/>
    </x:row>
    <x:row r="53" ht="26" customHeight="1">
      <x:c r="A53" s="125" t="str">
        <x:v>SEG-011</x:v>
      </x:c>
      <x:c r="B53" s="125" t="str">
        <x:v>small_5mm</x:v>
      </x:c>
      <x:c r="C53" s="126" t="n">
        <x:v>0.00006560749999999999</x:v>
      </x:c>
      <x:c r="D53" s="126" t="n">
        <x:v>0.0000252</x:v>
      </x:c>
      <x:c r="E53" s="126" t="n">
        <x:v>0.00000819</x:v>
      </x:c>
      <x:c r="F53" s="126" t="n">
        <x:v>0.00000105</x:v>
      </x:c>
      <x:c r="G53" s="126" t="n">
        <x:v>0.0000016800000000000002</x:v>
      </x:c>
      <x:c r="H53" s="126" t="n">
        <x:v>0.000027562499999999996</x:v>
      </x:c>
      <x:c r="I53" s="126" t="n">
        <x:v>5.25e-7</x:v>
      </x:c>
      <x:c r="J53" s="126" t="n">
        <x:v>0.0000014000000000000001</x:v>
      </x:c>
      <x:c r="K53" s="107"/>
      <x:c r="L53" s="107"/>
      <x:c r="M53" s="107"/>
      <x:c r="N53" s="107"/>
    </x:row>
    <x:row r="54" ht="26" customHeight="1">
      <x:c r="A54" s="125" t="str">
        <x:v>SEG-011</x:v>
      </x:c>
      <x:c r="B54" s="125" t="str">
        <x:v>medium_25mm</x:v>
      </x:c>
      <x:c r="C54" s="126" t="n">
        <x:v>0.000037082499999999996</x:v>
      </x:c>
      <x:c r="D54" s="126" t="n">
        <x:v>0.0000105</x:v>
      </x:c>
      <x:c r="E54" s="126" t="n">
        <x:v>0.00000252</x:v>
      </x:c>
      <x:c r="F54" s="126" t="n">
        <x:v>0.000001575</x:v>
      </x:c>
      <x:c r="G54" s="126" t="n">
        <x:v>0.0000014000000000000001</x:v>
      </x:c>
      <x:c r="H54" s="126" t="n">
        <x:v>0.000019687499999999997</x:v>
      </x:c>
      <x:c r="I54" s="126" t="n">
        <x:v>7.000000000000001e-7</x:v>
      </x:c>
      <x:c r="J54" s="126" t="n">
        <x:v>7.000000000000001e-7</x:v>
      </x:c>
      <x:c r="K54" s="107"/>
      <x:c r="L54" s="107"/>
      <x:c r="M54" s="107"/>
      <x:c r="N54" s="107"/>
    </x:row>
    <x:row r="55" ht="26" customHeight="1">
      <x:c r="A55" s="125" t="str">
        <x:v>SEG-011</x:v>
      </x:c>
      <x:c r="B55" s="125" t="str">
        <x:v>large_100mm</x:v>
      </x:c>
      <x:c r="C55" s="126" t="n">
        <x:v>0.000022312499999999997</x:v>
      </x:c>
      <x:c r="D55" s="126" t="n">
        <x:v>0.0000042</x:v>
      </x:c>
      <x:c r="E55" s="126" t="n">
        <x:v>0.00000126</x:v>
      </x:c>
      <x:c r="F55" s="126" t="n">
        <x:v>0.000002625</x:v>
      </x:c>
      <x:c r="G55" s="126" t="n">
        <x:v>0.00000112</x:v>
      </x:c>
      <x:c r="H55" s="126" t="n">
        <x:v>0.000011812499999999997</x:v>
      </x:c>
      <x:c r="I55" s="126" t="n">
        <x:v>8.75e-7</x:v>
      </x:c>
      <x:c r="J55" s="126" t="n">
        <x:v>4.2000000000000006e-7</x:v>
      </x:c>
      <x:c r="K55" s="107"/>
      <x:c r="L55" s="107"/>
      <x:c r="M55" s="107"/>
      <x:c r="N55" s="107"/>
    </x:row>
    <x:row r="56" ht="26" customHeight="1">
      <x:c r="A56" s="125" t="str">
        <x:v>SEG-011</x:v>
      </x:c>
      <x:c r="B56" s="125" t="str">
        <x:v>rupture</x:v>
      </x:c>
      <x:c r="C56" s="126" t="n">
        <x:v>0.000030747499999999997</x:v>
      </x:c>
      <x:c r="D56" s="126" t="n">
        <x:v>0.0000021</x:v>
      </x:c>
      <x:c r="E56" s="126" t="n">
        <x:v>6.3e-7</x:v>
      </x:c>
      <x:c r="F56" s="126" t="n">
        <x:v>0.00000525</x:v>
      </x:c>
      <x:c r="G56" s="126" t="n">
        <x:v>0.0000014000000000000001</x:v>
      </x:c>
      <x:c r="H56" s="126" t="n">
        <x:v>0.000019687499999999997</x:v>
      </x:c>
      <x:c r="I56" s="126" t="n">
        <x:v>0.0000014000000000000001</x:v>
      </x:c>
      <x:c r="J56" s="126" t="n">
        <x:v>2.8e-7</x:v>
      </x:c>
      <x:c r="K56" s="107"/>
      <x:c r="L56" s="107"/>
      <x:c r="M56" s="107"/>
      <x:c r="N56" s="107"/>
    </x:row>
    <x:row r="57" ht="26" customHeight="1">
      <x:c r="A57" s="125" t="str">
        <x:v>SEG-012</x:v>
      </x:c>
      <x:c r="B57" s="125" t="str">
        <x:v>small_5mm</x:v>
      </x:c>
      <x:c r="C57" s="126" t="n">
        <x:v>0.00006560749999999999</x:v>
      </x:c>
      <x:c r="D57" s="126" t="n">
        <x:v>0.0000252</x:v>
      </x:c>
      <x:c r="E57" s="126" t="n">
        <x:v>0.00000819</x:v>
      </x:c>
      <x:c r="F57" s="126" t="n">
        <x:v>0.00000105</x:v>
      </x:c>
      <x:c r="G57" s="126" t="n">
        <x:v>0.0000016800000000000002</x:v>
      </x:c>
      <x:c r="H57" s="126" t="n">
        <x:v>0.000027562499999999996</x:v>
      </x:c>
      <x:c r="I57" s="126" t="n">
        <x:v>5.25e-7</x:v>
      </x:c>
      <x:c r="J57" s="126" t="n">
        <x:v>0.0000014000000000000001</x:v>
      </x:c>
      <x:c r="K57" s="107"/>
      <x:c r="L57" s="107"/>
      <x:c r="M57" s="107"/>
      <x:c r="N57" s="107"/>
    </x:row>
    <x:row r="58" ht="26" customHeight="1">
      <x:c r="A58" s="125" t="str">
        <x:v>SEG-012</x:v>
      </x:c>
      <x:c r="B58" s="125" t="str">
        <x:v>medium_25mm</x:v>
      </x:c>
      <x:c r="C58" s="126" t="n">
        <x:v>0.000037082499999999996</x:v>
      </x:c>
      <x:c r="D58" s="126" t="n">
        <x:v>0.0000105</x:v>
      </x:c>
      <x:c r="E58" s="126" t="n">
        <x:v>0.00000252</x:v>
      </x:c>
      <x:c r="F58" s="126" t="n">
        <x:v>0.000001575</x:v>
      </x:c>
      <x:c r="G58" s="126" t="n">
        <x:v>0.0000014000000000000001</x:v>
      </x:c>
      <x:c r="H58" s="126" t="n">
        <x:v>0.000019687499999999997</x:v>
      </x:c>
      <x:c r="I58" s="126" t="n">
        <x:v>7.000000000000001e-7</x:v>
      </x:c>
      <x:c r="J58" s="126" t="n">
        <x:v>7.000000000000001e-7</x:v>
      </x:c>
      <x:c r="K58" s="107"/>
      <x:c r="L58" s="107"/>
      <x:c r="M58" s="107"/>
      <x:c r="N58" s="107"/>
    </x:row>
    <x:row r="59" ht="26" customHeight="1">
      <x:c r="A59" s="125" t="str">
        <x:v>SEG-012</x:v>
      </x:c>
      <x:c r="B59" s="125" t="str">
        <x:v>large_100mm</x:v>
      </x:c>
      <x:c r="C59" s="126" t="n">
        <x:v>0.000022312499999999997</x:v>
      </x:c>
      <x:c r="D59" s="126" t="n">
        <x:v>0.0000042</x:v>
      </x:c>
      <x:c r="E59" s="126" t="n">
        <x:v>0.00000126</x:v>
      </x:c>
      <x:c r="F59" s="126" t="n">
        <x:v>0.000002625</x:v>
      </x:c>
      <x:c r="G59" s="126" t="n">
        <x:v>0.00000112</x:v>
      </x:c>
      <x:c r="H59" s="126" t="n">
        <x:v>0.000011812499999999997</x:v>
      </x:c>
      <x:c r="I59" s="126" t="n">
        <x:v>8.75e-7</x:v>
      </x:c>
      <x:c r="J59" s="126" t="n">
        <x:v>4.2000000000000006e-7</x:v>
      </x:c>
      <x:c r="K59" s="107"/>
      <x:c r="L59" s="107"/>
      <x:c r="M59" s="107"/>
      <x:c r="N59" s="107"/>
    </x:row>
    <x:row r="60" ht="26" customHeight="1">
      <x:c r="A60" s="125" t="str">
        <x:v>SEG-012</x:v>
      </x:c>
      <x:c r="B60" s="125" t="str">
        <x:v>rupture</x:v>
      </x:c>
      <x:c r="C60" s="126" t="n">
        <x:v>0.000030747499999999997</x:v>
      </x:c>
      <x:c r="D60" s="126" t="n">
        <x:v>0.0000021</x:v>
      </x:c>
      <x:c r="E60" s="126" t="n">
        <x:v>6.3e-7</x:v>
      </x:c>
      <x:c r="F60" s="126" t="n">
        <x:v>0.00000525</x:v>
      </x:c>
      <x:c r="G60" s="126" t="n">
        <x:v>0.0000014000000000000001</x:v>
      </x:c>
      <x:c r="H60" s="126" t="n">
        <x:v>0.000019687499999999997</x:v>
      </x:c>
      <x:c r="I60" s="126" t="n">
        <x:v>0.0000014000000000000001</x:v>
      </x:c>
      <x:c r="J60" s="126" t="n">
        <x:v>2.8e-7</x:v>
      </x:c>
      <x:c r="K60" s="107"/>
      <x:c r="L60" s="107"/>
      <x:c r="M60" s="107"/>
      <x:c r="N60" s="107"/>
    </x:row>
    <x:row r="61" ht="26" customHeight="1">
      <x:c r="A61" s="125" t="str">
        <x:v>SEG-013</x:v>
      </x:c>
      <x:c r="B61" s="125" t="str">
        <x:v>small_5mm</x:v>
      </x:c>
      <x:c r="C61" s="126" t="n">
        <x:v>0.00006312</x:v>
      </x:c>
      <x:c r="D61" s="126" t="n">
        <x:v>0.000023040000000000003</x:v>
      </x:c>
      <x:c r="E61" s="126" t="n">
        <x:v>0.00000936</x:v>
      </x:c>
      <x:c r="F61" s="126" t="n">
        <x:v>9.600000000000001e-7</x:v>
      </x:c>
      <x:c r="G61" s="126" t="n">
        <x:v>0.0000016800000000000002</x:v>
      </x:c>
      <x:c r="H61" s="126" t="n">
        <x:v>0.0000252</x:v>
      </x:c>
      <x:c r="I61" s="126" t="n">
        <x:v>4.800000000000001e-7</x:v>
      </x:c>
      <x:c r="J61" s="126" t="n">
        <x:v>0.0000024000000000000003</x:v>
      </x:c>
      <x:c r="K61" s="107"/>
      <x:c r="L61" s="107"/>
      <x:c r="M61" s="107"/>
      <x:c r="N61" s="107"/>
    </x:row>
    <x:row r="62" ht="26" customHeight="1">
      <x:c r="A62" s="125" t="str">
        <x:v>SEG-013</x:v>
      </x:c>
      <x:c r="B62" s="125" t="str">
        <x:v>medium_25mm</x:v>
      </x:c>
      <x:c r="C62" s="126" t="n">
        <x:v>0.00003516</x:v>
      </x:c>
      <x:c r="D62" s="126" t="n">
        <x:v>0.000009600000000000001</x:v>
      </x:c>
      <x:c r="E62" s="126" t="n">
        <x:v>0.0000028800000000000004</x:v>
      </x:c>
      <x:c r="F62" s="126" t="n">
        <x:v>0.0000014400000000000002</x:v>
      </x:c>
      <x:c r="G62" s="126" t="n">
        <x:v>0.0000014000000000000001</x:v>
      </x:c>
      <x:c r="H62" s="126" t="n">
        <x:v>0.000018</x:v>
      </x:c>
      <x:c r="I62" s="126" t="n">
        <x:v>6.400000000000002e-7</x:v>
      </x:c>
      <x:c r="J62" s="126" t="n">
        <x:v>0.0000012000000000000002</x:v>
      </x:c>
      <x:c r="K62" s="107"/>
      <x:c r="L62" s="107"/>
      <x:c r="M62" s="107"/>
      <x:c r="N62" s="107"/>
    </x:row>
    <x:row r="63" ht="26" customHeight="1">
      <x:c r="A63" s="125" t="str">
        <x:v>SEG-013</x:v>
      </x:c>
      <x:c r="B63" s="125" t="str">
        <x:v>large_100mm</x:v>
      </x:c>
      <x:c r="C63" s="126" t="n">
        <x:v>0.00002112</x:v>
      </x:c>
      <x:c r="D63" s="126" t="n">
        <x:v>0.0000038400000000000005</x:v>
      </x:c>
      <x:c r="E63" s="126" t="n">
        <x:v>0.0000014400000000000002</x:v>
      </x:c>
      <x:c r="F63" s="126" t="n">
        <x:v>0.0000024000000000000003</x:v>
      </x:c>
      <x:c r="G63" s="126" t="n">
        <x:v>0.00000112</x:v>
      </x:c>
      <x:c r="H63" s="126" t="n">
        <x:v>0.0000108</x:v>
      </x:c>
      <x:c r="I63" s="126" t="n">
        <x:v>8.000000000000002e-7</x:v>
      </x:c>
      <x:c r="J63" s="126" t="n">
        <x:v>7.200000000000001e-7</x:v>
      </x:c>
      <x:c r="K63" s="107"/>
      <x:c r="L63" s="107"/>
      <x:c r="M63" s="107"/>
      <x:c r="N63" s="107"/>
    </x:row>
    <x:row r="64" ht="26" customHeight="1">
      <x:c r="A64" s="125" t="str">
        <x:v>SEG-013</x:v>
      </x:c>
      <x:c r="B64" s="125" t="str">
        <x:v>rupture</x:v>
      </x:c>
      <x:c r="C64" s="126" t="n">
        <x:v>0.0000286</x:v>
      </x:c>
      <x:c r="D64" s="126" t="n">
        <x:v>0.0000019200000000000003</x:v>
      </x:c>
      <x:c r="E64" s="126" t="n">
        <x:v>7.200000000000001e-7</x:v>
      </x:c>
      <x:c r="F64" s="126" t="n">
        <x:v>0.000004800000000000001</x:v>
      </x:c>
      <x:c r="G64" s="126" t="n">
        <x:v>0.0000014000000000000001</x:v>
      </x:c>
      <x:c r="H64" s="126" t="n">
        <x:v>0.000018</x:v>
      </x:c>
      <x:c r="I64" s="126" t="n">
        <x:v>0.0000012800000000000005</x:v>
      </x:c>
      <x:c r="J64" s="126" t="n">
        <x:v>4.800000000000001e-7</x:v>
      </x:c>
      <x:c r="K64" s="107"/>
      <x:c r="L64" s="107"/>
      <x:c r="M64" s="107"/>
      <x:c r="N64" s="107"/>
    </x:row>
    <x:row r="65" ht="26" customHeight="1">
      <x:c r="A65" s="125" t="str">
        <x:v>SEG-014</x:v>
      </x:c>
      <x:c r="B65" s="125" t="str">
        <x:v>small_5mm</x:v>
      </x:c>
      <x:c r="C65" s="126" t="n">
        <x:v>0.00006312</x:v>
      </x:c>
      <x:c r="D65" s="126" t="n">
        <x:v>0.000023040000000000003</x:v>
      </x:c>
      <x:c r="E65" s="126" t="n">
        <x:v>0.00000936</x:v>
      </x:c>
      <x:c r="F65" s="126" t="n">
        <x:v>9.600000000000001e-7</x:v>
      </x:c>
      <x:c r="G65" s="126" t="n">
        <x:v>0.0000016800000000000002</x:v>
      </x:c>
      <x:c r="H65" s="126" t="n">
        <x:v>0.0000252</x:v>
      </x:c>
      <x:c r="I65" s="126" t="n">
        <x:v>4.800000000000001e-7</x:v>
      </x:c>
      <x:c r="J65" s="126" t="n">
        <x:v>0.0000024000000000000003</x:v>
      </x:c>
      <x:c r="K65" s="107"/>
      <x:c r="L65" s="107"/>
      <x:c r="M65" s="107"/>
      <x:c r="N65" s="107"/>
    </x:row>
    <x:row r="66" ht="26" customHeight="1">
      <x:c r="A66" s="125" t="str">
        <x:v>SEG-014</x:v>
      </x:c>
      <x:c r="B66" s="125" t="str">
        <x:v>medium_25mm</x:v>
      </x:c>
      <x:c r="C66" s="126" t="n">
        <x:v>0.00003516</x:v>
      </x:c>
      <x:c r="D66" s="126" t="n">
        <x:v>0.000009600000000000001</x:v>
      </x:c>
      <x:c r="E66" s="126" t="n">
        <x:v>0.0000028800000000000004</x:v>
      </x:c>
      <x:c r="F66" s="126" t="n">
        <x:v>0.0000014400000000000002</x:v>
      </x:c>
      <x:c r="G66" s="126" t="n">
        <x:v>0.0000014000000000000001</x:v>
      </x:c>
      <x:c r="H66" s="126" t="n">
        <x:v>0.000018</x:v>
      </x:c>
      <x:c r="I66" s="126" t="n">
        <x:v>6.400000000000002e-7</x:v>
      </x:c>
      <x:c r="J66" s="126" t="n">
        <x:v>0.0000012000000000000002</x:v>
      </x:c>
      <x:c r="K66" s="107"/>
      <x:c r="L66" s="107"/>
      <x:c r="M66" s="107"/>
      <x:c r="N66" s="107"/>
    </x:row>
    <x:row r="67" ht="26" customHeight="1">
      <x:c r="A67" s="125" t="str">
        <x:v>SEG-014</x:v>
      </x:c>
      <x:c r="B67" s="125" t="str">
        <x:v>large_100mm</x:v>
      </x:c>
      <x:c r="C67" s="126" t="n">
        <x:v>0.00002112</x:v>
      </x:c>
      <x:c r="D67" s="126" t="n">
        <x:v>0.0000038400000000000005</x:v>
      </x:c>
      <x:c r="E67" s="126" t="n">
        <x:v>0.0000014400000000000002</x:v>
      </x:c>
      <x:c r="F67" s="126" t="n">
        <x:v>0.0000024000000000000003</x:v>
      </x:c>
      <x:c r="G67" s="126" t="n">
        <x:v>0.00000112</x:v>
      </x:c>
      <x:c r="H67" s="126" t="n">
        <x:v>0.0000108</x:v>
      </x:c>
      <x:c r="I67" s="126" t="n">
        <x:v>8.000000000000002e-7</x:v>
      </x:c>
      <x:c r="J67" s="126" t="n">
        <x:v>7.200000000000001e-7</x:v>
      </x:c>
      <x:c r="K67" s="107"/>
      <x:c r="L67" s="107"/>
      <x:c r="M67" s="107"/>
      <x:c r="N67" s="107"/>
    </x:row>
    <x:row r="68" ht="26" customHeight="1">
      <x:c r="A68" s="125" t="str">
        <x:v>SEG-014</x:v>
      </x:c>
      <x:c r="B68" s="125" t="str">
        <x:v>rupture</x:v>
      </x:c>
      <x:c r="C68" s="126" t="n">
        <x:v>0.0000286</x:v>
      </x:c>
      <x:c r="D68" s="126" t="n">
        <x:v>0.0000019200000000000003</x:v>
      </x:c>
      <x:c r="E68" s="126" t="n">
        <x:v>7.200000000000001e-7</x:v>
      </x:c>
      <x:c r="F68" s="126" t="n">
        <x:v>0.000004800000000000001</x:v>
      </x:c>
      <x:c r="G68" s="126" t="n">
        <x:v>0.0000014000000000000001</x:v>
      </x:c>
      <x:c r="H68" s="126" t="n">
        <x:v>0.000018</x:v>
      </x:c>
      <x:c r="I68" s="126" t="n">
        <x:v>0.0000012800000000000005</x:v>
      </x:c>
      <x:c r="J68" s="126" t="n">
        <x:v>4.800000000000001e-7</x:v>
      </x:c>
      <x:c r="K68" s="107"/>
      <x:c r="L68" s="107"/>
      <x:c r="M68" s="107"/>
      <x:c r="N68" s="107"/>
    </x:row>
    <x:row r="69" ht="26" customHeight="1">
      <x:c r="A69" s="125" t="str">
        <x:v>SEG-015</x:v>
      </x:c>
      <x:c r="B69" s="125" t="str">
        <x:v>small_5mm</x:v>
      </x:c>
      <x:c r="C69" s="126" t="n">
        <x:v>0.00007101</x:v>
      </x:c>
      <x:c r="D69" s="126" t="n">
        <x:v>0.00002592</x:v>
      </x:c>
      <x:c r="E69" s="126" t="n">
        <x:v>0.00001053</x:v>
      </x:c>
      <x:c r="F69" s="126" t="n">
        <x:v>0.00000108</x:v>
      </x:c>
      <x:c r="G69" s="126" t="n">
        <x:v>0.00000189</x:v>
      </x:c>
      <x:c r="H69" s="126" t="n">
        <x:v>0.000028349999999999995</x:v>
      </x:c>
      <x:c r="I69" s="126" t="n">
        <x:v>5.400000000000001e-7</x:v>
      </x:c>
      <x:c r="J69" s="126" t="n">
        <x:v>0.0000027</x:v>
      </x:c>
      <x:c r="K69" s="107"/>
      <x:c r="L69" s="107"/>
      <x:c r="M69" s="107"/>
      <x:c r="N69" s="107"/>
    </x:row>
    <x:row r="70" ht="26" customHeight="1">
      <x:c r="A70" s="125" t="str">
        <x:v>SEG-015</x:v>
      </x:c>
      <x:c r="B70" s="125" t="str">
        <x:v>medium_25mm</x:v>
      </x:c>
      <x:c r="C70" s="126" t="n">
        <x:v>0.000039554999999999997</x:v>
      </x:c>
      <x:c r="D70" s="126" t="n">
        <x:v>0.0000108</x:v>
      </x:c>
      <x:c r="E70" s="126" t="n">
        <x:v>0.0000032400000000000003</x:v>
      </x:c>
      <x:c r="F70" s="126" t="n">
        <x:v>0.00000162</x:v>
      </x:c>
      <x:c r="G70" s="126" t="n">
        <x:v>0.000001575</x:v>
      </x:c>
      <x:c r="H70" s="126" t="n">
        <x:v>0.000020249999999999998</x:v>
      </x:c>
      <x:c r="I70" s="126" t="n">
        <x:v>7.200000000000002e-7</x:v>
      </x:c>
      <x:c r="J70" s="126" t="n">
        <x:v>0.00000135</x:v>
      </x:c>
      <x:c r="K70" s="107"/>
      <x:c r="L70" s="107"/>
      <x:c r="M70" s="107"/>
      <x:c r="N70" s="107"/>
    </x:row>
    <x:row r="71" ht="26" customHeight="1">
      <x:c r="A71" s="125" t="str">
        <x:v>SEG-015</x:v>
      </x:c>
      <x:c r="B71" s="125" t="str">
        <x:v>large_100mm</x:v>
      </x:c>
      <x:c r="C71" s="126" t="n">
        <x:v>0.00002376</x:v>
      </x:c>
      <x:c r="D71" s="126" t="n">
        <x:v>0.00000432</x:v>
      </x:c>
      <x:c r="E71" s="126" t="n">
        <x:v>0.0000016200000000000002</x:v>
      </x:c>
      <x:c r="F71" s="126" t="n">
        <x:v>0.0000027</x:v>
      </x:c>
      <x:c r="G71" s="126" t="n">
        <x:v>0.00000126</x:v>
      </x:c>
      <x:c r="H71" s="126" t="n">
        <x:v>0.000012149999999999999</x:v>
      </x:c>
      <x:c r="I71" s="126" t="n">
        <x:v>9.000000000000002e-7</x:v>
      </x:c>
      <x:c r="J71" s="126" t="n">
        <x:v>8.1e-7</x:v>
      </x:c>
      <x:c r="K71" s="107"/>
      <x:c r="L71" s="107"/>
      <x:c r="M71" s="107"/>
      <x:c r="N71" s="107"/>
    </x:row>
    <x:row r="72" ht="26" customHeight="1">
      <x:c r="A72" s="125" t="str">
        <x:v>SEG-015</x:v>
      </x:c>
      <x:c r="B72" s="125" t="str">
        <x:v>rupture</x:v>
      </x:c>
      <x:c r="C72" s="126" t="n">
        <x:v>0.000032174999999999996</x:v>
      </x:c>
      <x:c r="D72" s="126" t="n">
        <x:v>0.00000216</x:v>
      </x:c>
      <x:c r="E72" s="126" t="n">
        <x:v>8.100000000000001e-7</x:v>
      </x:c>
      <x:c r="F72" s="126" t="n">
        <x:v>0.0000054</x:v>
      </x:c>
      <x:c r="G72" s="126" t="n">
        <x:v>0.000001575</x:v>
      </x:c>
      <x:c r="H72" s="126" t="n">
        <x:v>0.000020249999999999998</x:v>
      </x:c>
      <x:c r="I72" s="126" t="n">
        <x:v>0.0000014400000000000004</x:v>
      </x:c>
      <x:c r="J72" s="126" t="n">
        <x:v>5.4e-7</x:v>
      </x:c>
      <x:c r="K72" s="107"/>
      <x:c r="L72" s="107"/>
      <x:c r="M72" s="107"/>
      <x:c r="N72" s="107"/>
    </x:row>
    <x:row r="73" ht="26" customHeight="1">
      <x:c r="A73" s="125" t="str">
        <x:v>SEG-016</x:v>
      </x:c>
      <x:c r="B73" s="125" t="str">
        <x:v>small_5mm</x:v>
      </x:c>
      <x:c r="C73" s="126" t="n">
        <x:v>0.00007101</x:v>
      </x:c>
      <x:c r="D73" s="126" t="n">
        <x:v>0.00002592</x:v>
      </x:c>
      <x:c r="E73" s="126" t="n">
        <x:v>0.00001053</x:v>
      </x:c>
      <x:c r="F73" s="126" t="n">
        <x:v>0.00000108</x:v>
      </x:c>
      <x:c r="G73" s="126" t="n">
        <x:v>0.00000189</x:v>
      </x:c>
      <x:c r="H73" s="126" t="n">
        <x:v>0.000028349999999999995</x:v>
      </x:c>
      <x:c r="I73" s="126" t="n">
        <x:v>5.400000000000001e-7</x:v>
      </x:c>
      <x:c r="J73" s="126" t="n">
        <x:v>0.0000027</x:v>
      </x:c>
      <x:c r="K73" s="107"/>
      <x:c r="L73" s="107"/>
      <x:c r="M73" s="107"/>
      <x:c r="N73" s="107"/>
    </x:row>
    <x:row r="74" ht="26" customHeight="1">
      <x:c r="A74" s="125" t="str">
        <x:v>SEG-016</x:v>
      </x:c>
      <x:c r="B74" s="125" t="str">
        <x:v>medium_25mm</x:v>
      </x:c>
      <x:c r="C74" s="126" t="n">
        <x:v>0.000039554999999999997</x:v>
      </x:c>
      <x:c r="D74" s="126" t="n">
        <x:v>0.0000108</x:v>
      </x:c>
      <x:c r="E74" s="126" t="n">
        <x:v>0.0000032400000000000003</x:v>
      </x:c>
      <x:c r="F74" s="126" t="n">
        <x:v>0.00000162</x:v>
      </x:c>
      <x:c r="G74" s="126" t="n">
        <x:v>0.000001575</x:v>
      </x:c>
      <x:c r="H74" s="126" t="n">
        <x:v>0.000020249999999999998</x:v>
      </x:c>
      <x:c r="I74" s="126" t="n">
        <x:v>7.200000000000002e-7</x:v>
      </x:c>
      <x:c r="J74" s="126" t="n">
        <x:v>0.00000135</x:v>
      </x:c>
      <x:c r="K74" s="107"/>
      <x:c r="L74" s="107"/>
      <x:c r="M74" s="107"/>
      <x:c r="N74" s="107"/>
    </x:row>
    <x:row r="75" ht="26" customHeight="1">
      <x:c r="A75" s="125" t="str">
        <x:v>SEG-016</x:v>
      </x:c>
      <x:c r="B75" s="125" t="str">
        <x:v>large_100mm</x:v>
      </x:c>
      <x:c r="C75" s="126" t="n">
        <x:v>0.00002376</x:v>
      </x:c>
      <x:c r="D75" s="126" t="n">
        <x:v>0.00000432</x:v>
      </x:c>
      <x:c r="E75" s="126" t="n">
        <x:v>0.0000016200000000000002</x:v>
      </x:c>
      <x:c r="F75" s="126" t="n">
        <x:v>0.0000027</x:v>
      </x:c>
      <x:c r="G75" s="126" t="n">
        <x:v>0.00000126</x:v>
      </x:c>
      <x:c r="H75" s="126" t="n">
        <x:v>0.000012149999999999999</x:v>
      </x:c>
      <x:c r="I75" s="126" t="n">
        <x:v>9.000000000000002e-7</x:v>
      </x:c>
      <x:c r="J75" s="126" t="n">
        <x:v>8.1e-7</x:v>
      </x:c>
      <x:c r="K75" s="107"/>
      <x:c r="L75" s="107"/>
      <x:c r="M75" s="107"/>
      <x:c r="N75" s="107"/>
    </x:row>
    <x:row r="76" ht="26" customHeight="1">
      <x:c r="A76" s="125" t="str">
        <x:v>SEG-016</x:v>
      </x:c>
      <x:c r="B76" s="125" t="str">
        <x:v>rupture</x:v>
      </x:c>
      <x:c r="C76" s="126" t="n">
        <x:v>0.000032174999999999996</x:v>
      </x:c>
      <x:c r="D76" s="126" t="n">
        <x:v>0.00000216</x:v>
      </x:c>
      <x:c r="E76" s="126" t="n">
        <x:v>8.100000000000001e-7</x:v>
      </x:c>
      <x:c r="F76" s="126" t="n">
        <x:v>0.0000054</x:v>
      </x:c>
      <x:c r="G76" s="126" t="n">
        <x:v>0.000001575</x:v>
      </x:c>
      <x:c r="H76" s="126" t="n">
        <x:v>0.000020249999999999998</x:v>
      </x:c>
      <x:c r="I76" s="126" t="n">
        <x:v>0.0000014400000000000004</x:v>
      </x:c>
      <x:c r="J76" s="126" t="n">
        <x:v>5.4e-7</x:v>
      </x:c>
      <x:c r="K76" s="107"/>
      <x:c r="L76" s="107"/>
      <x:c r="M76" s="107"/>
      <x:c r="N76" s="107"/>
    </x:row>
    <x:row r="77" ht="26" customHeight="1">
      <x:c r="A77" s="125" t="str">
        <x:v>SEG-017</x:v>
      </x:c>
      <x:c r="B77" s="125" t="str">
        <x:v>small_5mm</x:v>
      </x:c>
      <x:c r="C77" s="126" t="n">
        <x:v>0.0000511175</x:v>
      </x:c>
      <x:c r="D77" s="126" t="n">
        <x:v>0.00002772</x:v>
      </x:c>
      <x:c r="E77" s="126" t="n">
        <x:v>0.000007280000000000001</x:v>
      </x:c>
      <x:c r="F77" s="126" t="n">
        <x:v>0.00000105</x:v>
      </x:c>
      <x:c r="G77" s="126" t="n">
        <x:v>0.0000016800000000000002</x:v>
      </x:c>
      <x:c r="H77" s="126" t="n">
        <x:v>0.000009187499999999998</x:v>
      </x:c>
      <x:c r="I77" s="126" t="n">
        <x:v>0.0000031500000000000003</x:v>
      </x:c>
      <x:c r="J77" s="126" t="n">
        <x:v>0.00000105</x:v>
      </x:c>
      <x:c r="K77" s="107"/>
      <x:c r="L77" s="107"/>
      <x:c r="M77" s="107"/>
      <x:c r="N77" s="107"/>
    </x:row>
    <x:row r="78" ht="26" customHeight="1">
      <x:c r="A78" s="125" t="str">
        <x:v>SEG-017</x:v>
      </x:c>
      <x:c r="B78" s="125" t="str">
        <x:v>medium_25mm</x:v>
      </x:c>
      <x:c r="C78" s="126" t="n">
        <x:v>0.0000280525</x:v>
      </x:c>
      <x:c r="D78" s="126" t="n">
        <x:v>0.00001155</x:v>
      </x:c>
      <x:c r="E78" s="126" t="n">
        <x:v>0.00000224</x:v>
      </x:c>
      <x:c r="F78" s="126" t="n">
        <x:v>0.000001575</x:v>
      </x:c>
      <x:c r="G78" s="126" t="n">
        <x:v>0.0000014000000000000001</x:v>
      </x:c>
      <x:c r="H78" s="126" t="n">
        <x:v>0.0000065624999999999994</x:v>
      </x:c>
      <x:c r="I78" s="126" t="n">
        <x:v>0.0000042000000000000004</x:v>
      </x:c>
      <x:c r="J78" s="126" t="n">
        <x:v>5.25e-7</x:v>
      </x:c>
      <x:c r="K78" s="107"/>
      <x:c r="L78" s="107"/>
      <x:c r="M78" s="107"/>
      <x:c r="N78" s="107"/>
    </x:row>
    <x:row r="79" ht="26" customHeight="1">
      <x:c r="A79" s="125" t="str">
        <x:v>SEG-017</x:v>
      </x:c>
      <x:c r="B79" s="125" t="str">
        <x:v>large_100mm</x:v>
      </x:c>
      <x:c r="C79" s="126" t="n">
        <x:v>0.0000189875</x:v>
      </x:c>
      <x:c r="D79" s="126" t="n">
        <x:v>0.00000462</x:v>
      </x:c>
      <x:c r="E79" s="126" t="n">
        <x:v>0.00000112</x:v>
      </x:c>
      <x:c r="F79" s="126" t="n">
        <x:v>0.000002625</x:v>
      </x:c>
      <x:c r="G79" s="126" t="n">
        <x:v>0.00000112</x:v>
      </x:c>
      <x:c r="H79" s="126" t="n">
        <x:v>0.000003937499999999999</x:v>
      </x:c>
      <x:c r="I79" s="126" t="n">
        <x:v>0.0000052500000000000006</x:v>
      </x:c>
      <x:c r="J79" s="126" t="n">
        <x:v>3.1499999999999995e-7</x:v>
      </x:c>
      <x:c r="K79" s="107"/>
      <x:c r="L79" s="107"/>
      <x:c r="M79" s="107"/>
      <x:c r="N79" s="107"/>
    </x:row>
    <x:row r="80" ht="26" customHeight="1">
      <x:c r="A80" s="125" t="str">
        <x:v>SEG-017</x:v>
      </x:c>
      <x:c r="B80" s="125" t="str">
        <x:v>rupture</x:v>
      </x:c>
      <x:c r="C80" s="126" t="n">
        <x:v>0.0000246925</x:v>
      </x:c>
      <x:c r="D80" s="126" t="n">
        <x:v>0.00000231</x:v>
      </x:c>
      <x:c r="E80" s="126" t="n">
        <x:v>5.6e-7</x:v>
      </x:c>
      <x:c r="F80" s="126" t="n">
        <x:v>0.00000525</x:v>
      </x:c>
      <x:c r="G80" s="126" t="n">
        <x:v>0.0000014000000000000001</x:v>
      </x:c>
      <x:c r="H80" s="126" t="n">
        <x:v>0.0000065624999999999994</x:v>
      </x:c>
      <x:c r="I80" s="126" t="n">
        <x:v>0.000008400000000000001</x:v>
      </x:c>
      <x:c r="J80" s="126" t="n">
        <x:v>2.1e-7</x:v>
      </x:c>
      <x:c r="K80" s="107"/>
      <x:c r="L80" s="107"/>
      <x:c r="M80" s="107"/>
      <x:c r="N80" s="107"/>
    </x:row>
    <x:row r="81" ht="26" customHeight="1">
      <x:c r="A81" s="125" t="str">
        <x:v>SEG-018</x:v>
      </x:c>
      <x:c r="B81" s="125" t="str">
        <x:v>small_5mm</x:v>
      </x:c>
      <x:c r="C81" s="126" t="n">
        <x:v>0.0000511175</x:v>
      </x:c>
      <x:c r="D81" s="126" t="n">
        <x:v>0.00002772</x:v>
      </x:c>
      <x:c r="E81" s="126" t="n">
        <x:v>0.000007280000000000001</x:v>
      </x:c>
      <x:c r="F81" s="126" t="n">
        <x:v>0.00000105</x:v>
      </x:c>
      <x:c r="G81" s="126" t="n">
        <x:v>0.0000016800000000000002</x:v>
      </x:c>
      <x:c r="H81" s="126" t="n">
        <x:v>0.000009187499999999998</x:v>
      </x:c>
      <x:c r="I81" s="126" t="n">
        <x:v>0.0000031500000000000003</x:v>
      </x:c>
      <x:c r="J81" s="126" t="n">
        <x:v>0.00000105</x:v>
      </x:c>
      <x:c r="K81" s="107"/>
      <x:c r="L81" s="107"/>
      <x:c r="M81" s="107"/>
      <x:c r="N81" s="107"/>
    </x:row>
    <x:row r="82" ht="26" customHeight="1">
      <x:c r="A82" s="125" t="str">
        <x:v>SEG-018</x:v>
      </x:c>
      <x:c r="B82" s="125" t="str">
        <x:v>medium_25mm</x:v>
      </x:c>
      <x:c r="C82" s="126" t="n">
        <x:v>0.0000280525</x:v>
      </x:c>
      <x:c r="D82" s="126" t="n">
        <x:v>0.00001155</x:v>
      </x:c>
      <x:c r="E82" s="126" t="n">
        <x:v>0.00000224</x:v>
      </x:c>
      <x:c r="F82" s="126" t="n">
        <x:v>0.000001575</x:v>
      </x:c>
      <x:c r="G82" s="126" t="n">
        <x:v>0.0000014000000000000001</x:v>
      </x:c>
      <x:c r="H82" s="126" t="n">
        <x:v>0.0000065624999999999994</x:v>
      </x:c>
      <x:c r="I82" s="126" t="n">
        <x:v>0.0000042000000000000004</x:v>
      </x:c>
      <x:c r="J82" s="126" t="n">
        <x:v>5.25e-7</x:v>
      </x:c>
      <x:c r="K82" s="107"/>
      <x:c r="L82" s="107"/>
      <x:c r="M82" s="107"/>
      <x:c r="N82" s="107"/>
    </x:row>
    <x:row r="83" ht="26" customHeight="1">
      <x:c r="A83" s="125" t="str">
        <x:v>SEG-018</x:v>
      </x:c>
      <x:c r="B83" s="125" t="str">
        <x:v>large_100mm</x:v>
      </x:c>
      <x:c r="C83" s="126" t="n">
        <x:v>0.0000189875</x:v>
      </x:c>
      <x:c r="D83" s="126" t="n">
        <x:v>0.00000462</x:v>
      </x:c>
      <x:c r="E83" s="126" t="n">
        <x:v>0.00000112</x:v>
      </x:c>
      <x:c r="F83" s="126" t="n">
        <x:v>0.000002625</x:v>
      </x:c>
      <x:c r="G83" s="126" t="n">
        <x:v>0.00000112</x:v>
      </x:c>
      <x:c r="H83" s="126" t="n">
        <x:v>0.000003937499999999999</x:v>
      </x:c>
      <x:c r="I83" s="126" t="n">
        <x:v>0.0000052500000000000006</x:v>
      </x:c>
      <x:c r="J83" s="126" t="n">
        <x:v>3.1499999999999995e-7</x:v>
      </x:c>
      <x:c r="K83" s="107"/>
      <x:c r="L83" s="107"/>
      <x:c r="M83" s="107"/>
      <x:c r="N83" s="107"/>
    </x:row>
    <x:row r="84" ht="26" customHeight="1">
      <x:c r="A84" s="125" t="str">
        <x:v>SEG-018</x:v>
      </x:c>
      <x:c r="B84" s="125" t="str">
        <x:v>rupture</x:v>
      </x:c>
      <x:c r="C84" s="126" t="n">
        <x:v>0.0000246925</x:v>
      </x:c>
      <x:c r="D84" s="126" t="n">
        <x:v>0.00000231</x:v>
      </x:c>
      <x:c r="E84" s="126" t="n">
        <x:v>5.6e-7</x:v>
      </x:c>
      <x:c r="F84" s="126" t="n">
        <x:v>0.00000525</x:v>
      </x:c>
      <x:c r="G84" s="126" t="n">
        <x:v>0.0000014000000000000001</x:v>
      </x:c>
      <x:c r="H84" s="126" t="n">
        <x:v>0.0000065624999999999994</x:v>
      </x:c>
      <x:c r="I84" s="126" t="n">
        <x:v>0.000008400000000000001</x:v>
      </x:c>
      <x:c r="J84" s="126" t="n">
        <x:v>2.1e-7</x:v>
      </x:c>
      <x:c r="K84" s="107"/>
      <x:c r="L84" s="107"/>
      <x:c r="M84" s="107"/>
      <x:c r="N84" s="107"/>
    </x:row>
    <x:row r="85" ht="26" customHeight="1">
      <x:c r="A85" s="125" t="str">
        <x:v>SEG-019</x:v>
      </x:c>
      <x:c r="B85" s="125" t="str">
        <x:v>small_5mm</x:v>
      </x:c>
      <x:c r="C85" s="126" t="n">
        <x:v>0.00005842</x:v>
      </x:c>
      <x:c r="D85" s="126" t="n">
        <x:v>0.00003168</x:v>
      </x:c>
      <x:c r="E85" s="126" t="n">
        <x:v>0.000008320000000000002</x:v>
      </x:c>
      <x:c r="F85" s="126" t="n">
        <x:v>0.0000012000000000000002</x:v>
      </x:c>
      <x:c r="G85" s="126" t="n">
        <x:v>0.0000019200000000000003</x:v>
      </x:c>
      <x:c r="H85" s="126" t="n">
        <x:v>0.000010499999999999998</x:v>
      </x:c>
      <x:c r="I85" s="126" t="n">
        <x:v>0.0000036000000000000003</x:v>
      </x:c>
      <x:c r="J85" s="126" t="n">
        <x:v>0.0000012000000000000002</x:v>
      </x:c>
      <x:c r="K85" s="107"/>
      <x:c r="L85" s="107"/>
      <x:c r="M85" s="107"/>
      <x:c r="N85" s="107"/>
    </x:row>
    <x:row r="86" ht="26" customHeight="1">
      <x:c r="A86" s="125" t="str">
        <x:v>SEG-019</x:v>
      </x:c>
      <x:c r="B86" s="125" t="str">
        <x:v>medium_25mm</x:v>
      </x:c>
      <x:c r="C86" s="126" t="n">
        <x:v>0.00003206</x:v>
      </x:c>
      <x:c r="D86" s="126" t="n">
        <x:v>0.000013200000000000002</x:v>
      </x:c>
      <x:c r="E86" s="126" t="n">
        <x:v>0.000002560000000000001</x:v>
      </x:c>
      <x:c r="F86" s="126" t="n">
        <x:v>0.0000018</x:v>
      </x:c>
      <x:c r="G86" s="126" t="n">
        <x:v>0.0000016000000000000004</x:v>
      </x:c>
      <x:c r="H86" s="126" t="n">
        <x:v>0.000007499999999999999</x:v>
      </x:c>
      <x:c r="I86" s="126" t="n">
        <x:v>0.0000048000000000000015</x:v>
      </x:c>
      <x:c r="J86" s="126" t="n">
        <x:v>6.000000000000001e-7</x:v>
      </x:c>
      <x:c r="K86" s="107"/>
      <x:c r="L86" s="107"/>
      <x:c r="M86" s="107"/>
      <x:c r="N86" s="107"/>
    </x:row>
    <x:row r="87" ht="26" customHeight="1">
      <x:c r="A87" s="125" t="str">
        <x:v>SEG-019</x:v>
      </x:c>
      <x:c r="B87" s="125" t="str">
        <x:v>large_100mm</x:v>
      </x:c>
      <x:c r="C87" s="126" t="n">
        <x:v>0.000021700000000000002</x:v>
      </x:c>
      <x:c r="D87" s="126" t="n">
        <x:v>0.000005280000000000001</x:v>
      </x:c>
      <x:c r="E87" s="126" t="n">
        <x:v>0.0000012800000000000005</x:v>
      </x:c>
      <x:c r="F87" s="126" t="n">
        <x:v>0.000003</x:v>
      </x:c>
      <x:c r="G87" s="126" t="n">
        <x:v>0.0000012800000000000005</x:v>
      </x:c>
      <x:c r="H87" s="126" t="n">
        <x:v>0.000004499999999999999</x:v>
      </x:c>
      <x:c r="I87" s="126" t="n">
        <x:v>0.000006000000000000001</x:v>
      </x:c>
      <x:c r="J87" s="126" t="n">
        <x:v>3.6000000000000005e-7</x:v>
      </x:c>
      <x:c r="K87" s="107"/>
      <x:c r="L87" s="107"/>
      <x:c r="M87" s="107"/>
      <x:c r="N87" s="107"/>
    </x:row>
    <x:row r="88" ht="26" customHeight="1">
      <x:c r="A88" s="125" t="str">
        <x:v>SEG-019</x:v>
      </x:c>
      <x:c r="B88" s="125" t="str">
        <x:v>rupture</x:v>
      </x:c>
      <x:c r="C88" s="126" t="n">
        <x:v>0.000028220000000000004</x:v>
      </x:c>
      <x:c r="D88" s="126" t="n">
        <x:v>0.0000026400000000000006</x:v>
      </x:c>
      <x:c r="E88" s="126" t="n">
        <x:v>6.400000000000002e-7</x:v>
      </x:c>
      <x:c r="F88" s="126" t="n">
        <x:v>0.000006</x:v>
      </x:c>
      <x:c r="G88" s="126" t="n">
        <x:v>0.0000016000000000000004</x:v>
      </x:c>
      <x:c r="H88" s="126" t="n">
        <x:v>0.000007499999999999999</x:v>
      </x:c>
      <x:c r="I88" s="126" t="n">
        <x:v>0.000009600000000000003</x:v>
      </x:c>
      <x:c r="J88" s="126" t="n">
        <x:v>2.4000000000000003e-7</x:v>
      </x:c>
      <x:c r="K88" s="107"/>
      <x:c r="L88" s="107"/>
      <x:c r="M88" s="107"/>
      <x:c r="N88" s="107"/>
    </x:row>
    <x:row r="89" ht="26" customHeight="1">
      <x:c r="A89" s="125" t="str">
        <x:v>SEG-020</x:v>
      </x:c>
      <x:c r="B89" s="125" t="str">
        <x:v>small_5mm</x:v>
      </x:c>
      <x:c r="C89" s="126" t="n">
        <x:v>0.00005842</x:v>
      </x:c>
      <x:c r="D89" s="126" t="n">
        <x:v>0.00003168</x:v>
      </x:c>
      <x:c r="E89" s="126" t="n">
        <x:v>0.000008320000000000002</x:v>
      </x:c>
      <x:c r="F89" s="126" t="n">
        <x:v>0.0000012000000000000002</x:v>
      </x:c>
      <x:c r="G89" s="126" t="n">
        <x:v>0.0000019200000000000003</x:v>
      </x:c>
      <x:c r="H89" s="126" t="n">
        <x:v>0.000010499999999999998</x:v>
      </x:c>
      <x:c r="I89" s="126" t="n">
        <x:v>0.0000036000000000000003</x:v>
      </x:c>
      <x:c r="J89" s="126" t="n">
        <x:v>0.0000012000000000000002</x:v>
      </x:c>
      <x:c r="K89" s="107"/>
      <x:c r="L89" s="107"/>
      <x:c r="M89" s="107"/>
      <x:c r="N89" s="107"/>
    </x:row>
    <x:row r="90" ht="26" customHeight="1">
      <x:c r="A90" s="125" t="str">
        <x:v>SEG-020</x:v>
      </x:c>
      <x:c r="B90" s="125" t="str">
        <x:v>medium_25mm</x:v>
      </x:c>
      <x:c r="C90" s="126" t="n">
        <x:v>0.00003206</x:v>
      </x:c>
      <x:c r="D90" s="126" t="n">
        <x:v>0.000013200000000000002</x:v>
      </x:c>
      <x:c r="E90" s="126" t="n">
        <x:v>0.000002560000000000001</x:v>
      </x:c>
      <x:c r="F90" s="126" t="n">
        <x:v>0.0000018</x:v>
      </x:c>
      <x:c r="G90" s="126" t="n">
        <x:v>0.0000016000000000000004</x:v>
      </x:c>
      <x:c r="H90" s="126" t="n">
        <x:v>0.000007499999999999999</x:v>
      </x:c>
      <x:c r="I90" s="126" t="n">
        <x:v>0.0000048000000000000015</x:v>
      </x:c>
      <x:c r="J90" s="126" t="n">
        <x:v>6.000000000000001e-7</x:v>
      </x:c>
      <x:c r="K90" s="107"/>
      <x:c r="L90" s="107"/>
      <x:c r="M90" s="107"/>
      <x:c r="N90" s="107"/>
    </x:row>
    <x:row r="91" ht="26" customHeight="1">
      <x:c r="A91" s="125" t="str">
        <x:v>SEG-020</x:v>
      </x:c>
      <x:c r="B91" s="125" t="str">
        <x:v>large_100mm</x:v>
      </x:c>
      <x:c r="C91" s="126" t="n">
        <x:v>0.000021700000000000002</x:v>
      </x:c>
      <x:c r="D91" s="126" t="n">
        <x:v>0.000005280000000000001</x:v>
      </x:c>
      <x:c r="E91" s="126" t="n">
        <x:v>0.0000012800000000000005</x:v>
      </x:c>
      <x:c r="F91" s="126" t="n">
        <x:v>0.000003</x:v>
      </x:c>
      <x:c r="G91" s="126" t="n">
        <x:v>0.0000012800000000000005</x:v>
      </x:c>
      <x:c r="H91" s="126" t="n">
        <x:v>0.000004499999999999999</x:v>
      </x:c>
      <x:c r="I91" s="126" t="n">
        <x:v>0.000006000000000000001</x:v>
      </x:c>
      <x:c r="J91" s="126" t="n">
        <x:v>3.6000000000000005e-7</x:v>
      </x:c>
      <x:c r="K91" s="107"/>
      <x:c r="L91" s="107"/>
      <x:c r="M91" s="107"/>
      <x:c r="N91" s="107"/>
    </x:row>
    <x:row r="92" ht="26" customHeight="1">
      <x:c r="A92" s="127" t="str">
        <x:v>SEG-020</x:v>
      </x:c>
      <x:c r="B92" s="127" t="str">
        <x:v>rupture</x:v>
      </x:c>
      <x:c r="C92" s="128" t="n">
        <x:v>0.000028220000000000004</x:v>
      </x:c>
      <x:c r="D92" s="128" t="n">
        <x:v>0.0000026400000000000006</x:v>
      </x:c>
      <x:c r="E92" s="128" t="n">
        <x:v>6.400000000000002e-7</x:v>
      </x:c>
      <x:c r="F92" s="128" t="n">
        <x:v>0.000006</x:v>
      </x:c>
      <x:c r="G92" s="128" t="n">
        <x:v>0.0000016000000000000004</x:v>
      </x:c>
      <x:c r="H92" s="128" t="n">
        <x:v>0.000007499999999999999</x:v>
      </x:c>
      <x:c r="I92" s="128" t="n">
        <x:v>0.000009600000000000003</x:v>
      </x:c>
      <x:c r="J92" s="128" t="n">
        <x:v>2.4000000000000003e-7</x:v>
      </x:c>
      <x:c r="K92" s="107"/>
      <x:c r="L92" s="107"/>
      <x:c r="M92" s="107"/>
      <x:c r="N92" s="107"/>
    </x:row>
  </x:sheetData>
  <x:mergeCells>
    <x:mergeCell ref="A1:N1"/>
    <x:mergeCell ref="A2:N2"/>
  </x:mergeCells>
  <x:pageMargins left="0.7" right="0.7" top="0.75" bottom="0.75" header="0.3" footer="0.3"/>
  <x:tableParts count="2">
    <x:tablePart xmlns:r="http://schemas.openxmlformats.org/officeDocument/2006/relationships" r:id="Re53185bb0ccc42f0"/>
    <x:tablePart xmlns:r="http://schemas.openxmlformats.org/officeDocument/2006/relationships" r:id="R07194039821d43e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8" hidden="0" customWidth="1"/>
    <x:col min="5" max="5" width="13" hidden="0" customWidth="1"/>
    <x:col min="6" max="6" width="15" hidden="0" customWidth="1"/>
    <x:col min="7" max="7" width="15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0" customHeight="1">
      <x:c r="A1" s="105" t="str">
        <x:v>工程指标覆盖率与失效频率修正系数K_j</x:v>
      </x:c>
      <x:c r="B1" s="105" t="str">
        <x:v>工程指标覆盖率与失效频率修正系数K_j</x:v>
      </x:c>
      <x:c r="C1" s="105" t="str">
        <x:v>工程指标覆盖率与失效频率修正系数K_j</x:v>
      </x:c>
      <x:c r="D1" s="105" t="str">
        <x:v>工程指标覆盖率与失效频率修正系数K_j</x:v>
      </x:c>
      <x:c r="E1" s="105" t="str">
        <x:v>工程指标覆盖率与失效频率修正系数K_j</x:v>
      </x:c>
      <x:c r="F1" s="105" t="str">
        <x:v>工程指标覆盖率与失效频率修正系数K_j</x:v>
      </x:c>
      <x:c r="G1" s="105" t="str">
        <x:v>工程指标覆盖率与失效频率修正系数K_j</x:v>
      </x:c>
      <x:c r="H1" s="105" t="str">
        <x:v>工程指标覆盖率与失效频率修正系数K_j</x:v>
      </x:c>
      <x:c r="I1" s="105" t="str">
        <x:v>工程指标覆盖率与失效频率修正系数K_j</x:v>
      </x:c>
      <x:c r="J1" s="105" t="str">
        <x:v>工程指标覆盖率与失效频率修正系数K_j</x:v>
      </x:c>
    </x:row>
    <x:row r="2" ht="32" customHeight="1">
      <x:c r="A2" s="106" t="str">
        <x:v>覆盖率统计原始数据和证据是否存在，不代表指标已经被赋权。指标只有通过已批准的频率修正模型才能改变失效频率。</x:v>
      </x:c>
      <x:c r="B2" s="106" t="str">
        <x:v>覆盖率统计原始数据和证据是否存在，不代表指标已经被赋权。指标只有通过已批准的频率修正模型才能改变失效频率。</x:v>
      </x:c>
      <x:c r="C2" s="106" t="str">
        <x:v>覆盖率统计原始数据和证据是否存在，不代表指标已经被赋权。指标只有通过已批准的频率修正模型才能改变失效频率。</x:v>
      </x:c>
      <x:c r="D2" s="106" t="str">
        <x:v>覆盖率统计原始数据和证据是否存在，不代表指标已经被赋权。指标只有通过已批准的频率修正模型才能改变失效频率。</x:v>
      </x:c>
      <x:c r="E2" s="106" t="str">
        <x:v>覆盖率统计原始数据和证据是否存在，不代表指标已经被赋权。指标只有通过已批准的频率修正模型才能改变失效频率。</x:v>
      </x:c>
      <x:c r="F2" s="106" t="str">
        <x:v>覆盖率统计原始数据和证据是否存在，不代表指标已经被赋权。指标只有通过已批准的频率修正模型才能改变失效频率。</x:v>
      </x:c>
      <x:c r="G2" s="106" t="str">
        <x:v>覆盖率统计原始数据和证据是否存在，不代表指标已经被赋权。指标只有通过已批准的频率修正模型才能改变失效频率。</x:v>
      </x:c>
      <x:c r="H2" s="106" t="str">
        <x:v>覆盖率统计原始数据和证据是否存在，不代表指标已经被赋权。指标只有通过已批准的频率修正模型才能改变失效频率。</x:v>
      </x:c>
      <x:c r="I2" s="106" t="str">
        <x:v>覆盖率统计原始数据和证据是否存在，不代表指标已经被赋权。指标只有通过已批准的频率修正模型才能改变失效频率。</x:v>
      </x:c>
      <x:c r="J2" s="106" t="str">
        <x:v>覆盖率统计原始数据和证据是否存在，不代表指标已经被赋权。指标只有通过已批准的频率修正模型才能改变失效频率。</x:v>
      </x:c>
    </x:row>
    <x:row r="3">
      <x:c r="A3" s="107"/>
      <x:c r="B3" s="107"/>
      <x:c r="C3" s="107"/>
      <x:c r="D3" s="107"/>
      <x:c r="E3" s="107"/>
      <x:c r="F3" s="107"/>
      <x:c r="G3" s="107"/>
      <x:c r="H3" s="107"/>
      <x:c r="I3" s="107"/>
      <x:c r="J3" s="107"/>
    </x:row>
    <x:row r="4" ht="32" customHeight="1">
      <x:c r="A4" s="129" t="str">
        <x:v>指标目录</x:v>
      </x:c>
      <x:c r="B4" s="123" t="str">
        <x:v>qra.pipeline.engineering_indicators.v1</x:v>
      </x:c>
      <x:c r="C4" s="107"/>
      <x:c r="D4" s="122" t="str">
        <x:v>指标组</x:v>
      </x:c>
      <x:c r="E4" s="122" t="str">
        <x:v>定义数</x:v>
      </x:c>
      <x:c r="F4" s="122" t="str">
        <x:v>应有观测槽</x:v>
      </x:c>
      <x:c r="G4" s="122" t="str">
        <x:v>已覆盖观测槽</x:v>
      </x:c>
      <x:c r="H4" s="122" t="str">
        <x:v>覆盖率</x:v>
      </x:c>
      <x:c r="I4" s="107"/>
      <x:c r="J4" s="107"/>
    </x:row>
    <x:row r="5" ht="28" customHeight="1">
      <x:c r="A5" s="130" t="str">
        <x:v>目录版本</x:v>
      </x:c>
      <x:c r="B5" s="125" t="str">
        <x:v>1.0.0</x:v>
      </x:c>
      <x:c r="C5" s="107"/>
      <x:c r="D5" s="123" t="str">
        <x:v>物性与人员后果模型参数</x:v>
      </x:c>
      <x:c r="E5" s="123" t="n">
        <x:v>14</x:v>
      </x:c>
      <x:c r="F5" s="123" t="n">
        <x:v>14</x:v>
      </x:c>
      <x:c r="G5" s="123" t="n">
        <x:v>11</x:v>
      </x:c>
      <x:c r="H5" s="138" t="n">
        <x:v>0.7857142857142857</x:v>
      </x:c>
      <x:c r="I5" s="107"/>
      <x:c r="J5" s="107"/>
    </x:row>
    <x:row r="6" ht="28" customHeight="1">
      <x:c r="A6" s="130" t="str">
        <x:v>指标定义数</x:v>
      </x:c>
      <x:c r="B6" s="125" t="n">
        <x:v>246</x:v>
      </x:c>
      <x:c r="C6" s="107"/>
      <x:c r="D6" s="125" t="str">
        <x:v>施工、焊接与防护设施</x:v>
      </x:c>
      <x:c r="E6" s="125" t="n">
        <x:v>14</x:v>
      </x:c>
      <x:c r="F6" s="125" t="n">
        <x:v>280</x:v>
      </x:c>
      <x:c r="G6" s="125" t="n">
        <x:v>0</x:v>
      </x:c>
      <x:c r="H6" s="141" t="n">
        <x:v>0</x:v>
      </x:c>
      <x:c r="I6" s="107"/>
      <x:c r="J6" s="107"/>
    </x:row>
    <x:row r="7" ht="28" customHeight="1">
      <x:c r="A7" s="130" t="str">
        <x:v>必需指标定义数</x:v>
      </x:c>
      <x:c r="B7" s="125" t="n">
        <x:v>62</x:v>
      </x:c>
      <x:c r="C7" s="107"/>
      <x:c r="D7" s="125" t="str">
        <x:v>外腐蚀与阴极保护</x:v>
      </x:c>
      <x:c r="E7" s="125" t="n">
        <x:v>16</x:v>
      </x:c>
      <x:c r="F7" s="125" t="n">
        <x:v>320</x:v>
      </x:c>
      <x:c r="G7" s="125" t="n">
        <x:v>80</x:v>
      </x:c>
      <x:c r="H7" s="141" t="n">
        <x:v>0.25</x:v>
      </x:c>
      <x:c r="I7" s="107"/>
      <x:c r="J7" s="107"/>
    </x:row>
    <x:row r="8" ht="28" customHeight="1">
      <x:c r="A8" s="130" t="str">
        <x:v>必需观测槽</x:v>
      </x:c>
      <x:c r="B8" s="125" t="str">
        <x:v>588/588</x:v>
      </x:c>
      <x:c r="C8" s="107"/>
      <x:c r="D8" s="125" t="str">
        <x:v>自然与地质灾害</x:v>
      </x:c>
      <x:c r="E8" s="125" t="n">
        <x:v>16</x:v>
      </x:c>
      <x:c r="F8" s="125" t="n">
        <x:v>320</x:v>
      </x:c>
      <x:c r="G8" s="125" t="n">
        <x:v>40</x:v>
      </x:c>
      <x:c r="H8" s="141" t="n">
        <x:v>0.125</x:v>
      </x:c>
      <x:c r="I8" s="107"/>
      <x:c r="J8" s="107"/>
    </x:row>
    <x:row r="9" ht="28" customHeight="1">
      <x:c r="A9" s="130" t="str">
        <x:v>必需覆盖率</x:v>
      </x:c>
      <x:c r="B9" s="141" t="n">
        <x:v>1</x:v>
      </x:c>
      <x:c r="C9" s="107"/>
      <x:c r="D9" s="125" t="str">
        <x:v>管道几何、材料与设计</x:v>
      </x:c>
      <x:c r="E9" s="125" t="n">
        <x:v>18</x:v>
      </x:c>
      <x:c r="F9" s="125" t="n">
        <x:v>341</x:v>
      </x:c>
      <x:c r="G9" s="125" t="n">
        <x:v>181</x:v>
      </x:c>
      <x:c r="H9" s="141" t="n">
        <x:v>0.530791788856305</x:v>
      </x:c>
      <x:c r="I9" s="107"/>
      <x:c r="J9" s="107"/>
    </x:row>
    <x:row r="10" ht="28" customHeight="1">
      <x:c r="A10" s="132" t="str">
        <x:v>全部覆盖率</x:v>
      </x:c>
      <x:c r="B10" s="133" t="n">
        <x:v>0.17220694826293426</x:v>
      </x:c>
      <x:c r="C10" s="107"/>
      <x:c r="D10" s="125" t="str">
        <x:v>项目、文件与数据治理</x:v>
      </x:c>
      <x:c r="E10" s="125" t="n">
        <x:v>14</x:v>
      </x:c>
      <x:c r="F10" s="125" t="n">
        <x:v>14</x:v>
      </x:c>
      <x:c r="G10" s="125" t="n">
        <x:v>9</x:v>
      </x:c>
      <x:c r="H10" s="141" t="n">
        <x:v>0.6428571428571429</x:v>
      </x:c>
      <x:c r="I10" s="107"/>
      <x:c r="J10" s="107"/>
    </x:row>
    <x:row r="11" ht="28" customHeight="1">
      <x:c r="A11" s="107"/>
      <x:c r="B11" s="107"/>
      <x:c r="C11" s="107"/>
      <x:c r="D11" s="125" t="str">
        <x:v>点火源、约束与拥塞</x:v>
      </x:c>
      <x:c r="E11" s="125" t="n">
        <x:v>12</x:v>
      </x:c>
      <x:c r="F11" s="125" t="n">
        <x:v>221</x:v>
      </x:c>
      <x:c r="G11" s="125" t="n">
        <x:v>1</x:v>
      </x:c>
      <x:c r="H11" s="141" t="n">
        <x:v>0.004524886877828055</x:v>
      </x:c>
      <x:c r="I11" s="107"/>
      <x:c r="J11" s="107"/>
    </x:row>
    <x:row r="12" ht="28" customHeight="1">
      <x:c r="A12" s="107"/>
      <x:c r="B12" s="107"/>
      <x:c r="C12" s="107"/>
      <x:c r="D12" s="125" t="str">
        <x:v>检测、缺陷与维修</x:v>
      </x:c>
      <x:c r="E12" s="125" t="n">
        <x:v>16</x:v>
      </x:c>
      <x:c r="F12" s="125" t="n">
        <x:v>320</x:v>
      </x:c>
      <x:c r="G12" s="125" t="n">
        <x:v>20</x:v>
      </x:c>
      <x:c r="H12" s="141" t="n">
        <x:v>0.0625</x:v>
      </x:c>
      <x:c r="I12" s="107"/>
      <x:c r="J12" s="107"/>
    </x:row>
    <x:row r="13" ht="28" customHeight="1">
      <x:c r="A13" s="107"/>
      <x:c r="B13" s="107"/>
      <x:c r="C13" s="107"/>
      <x:c r="D13" s="125" t="str">
        <x:v>内腐蚀与介质腐蚀性</x:v>
      </x:c>
      <x:c r="E13" s="125" t="n">
        <x:v>14</x:v>
      </x:c>
      <x:c r="F13" s="125" t="n">
        <x:v>280</x:v>
      </x:c>
      <x:c r="G13" s="125" t="n">
        <x:v>0</x:v>
      </x:c>
      <x:c r="H13" s="141" t="n">
        <x:v>0</x:v>
      </x:c>
      <x:c r="I13" s="107"/>
      <x:c r="J13" s="107"/>
    </x:row>
    <x:row r="14" ht="28" customHeight="1">
      <x:c r="A14" s="107"/>
      <x:c r="B14" s="107"/>
      <x:c r="C14" s="107"/>
      <x:c r="D14" s="125" t="str">
        <x:v>运行管理、人因与应急</x:v>
      </x:c>
      <x:c r="E14" s="125" t="n">
        <x:v>14</x:v>
      </x:c>
      <x:c r="F14" s="125" t="n">
        <x:v>280</x:v>
      </x:c>
      <x:c r="G14" s="125" t="n">
        <x:v>40</x:v>
      </x:c>
      <x:c r="H14" s="141" t="n">
        <x:v>0.14285714285714285</x:v>
      </x:c>
      <x:c r="I14" s="107"/>
      <x:c r="J14" s="107"/>
    </x:row>
    <x:row r="15" ht="28" customHeight="1">
      <x:c r="A15" s="107"/>
      <x:c r="B15" s="107"/>
      <x:c r="C15" s="107"/>
      <x:c r="D15" s="125" t="str">
        <x:v>制造与施工缺陷</x:v>
      </x:c>
      <x:c r="E15" s="125" t="n">
        <x:v>12</x:v>
      </x:c>
      <x:c r="F15" s="125" t="n">
        <x:v>240</x:v>
      </x:c>
      <x:c r="G15" s="125" t="n">
        <x:v>0</x:v>
      </x:c>
      <x:c r="H15" s="141" t="n">
        <x:v>0</x:v>
      </x:c>
      <x:c r="I15" s="107"/>
      <x:c r="J15" s="107"/>
    </x:row>
    <x:row r="16" ht="28" customHeight="1">
      <x:c r="A16" s="107"/>
      <x:c r="B16" s="107"/>
      <x:c r="C16" s="107"/>
      <x:c r="D16" s="125" t="str">
        <x:v>运行工况与输送介质</x:v>
      </x:c>
      <x:c r="E16" s="125" t="n">
        <x:v>18</x:v>
      </x:c>
      <x:c r="F16" s="125" t="n">
        <x:v>265</x:v>
      </x:c>
      <x:c r="G16" s="125" t="n">
        <x:v>5</x:v>
      </x:c>
      <x:c r="H16" s="141" t="n">
        <x:v>0.018867924528301886</x:v>
      </x:c>
      <x:c r="I16" s="107"/>
      <x:c r="J16" s="107"/>
    </x:row>
    <x:row r="17" ht="28" customHeight="1">
      <x:c r="A17" s="107"/>
      <x:c r="B17" s="107"/>
      <x:c r="C17" s="107"/>
      <x:c r="D17" s="125" t="str">
        <x:v>人口、建筑与敏感受体</x:v>
      </x:c>
      <x:c r="E17" s="125" t="n">
        <x:v>14</x:v>
      </x:c>
      <x:c r="F17" s="125" t="n">
        <x:v>112</x:v>
      </x:c>
      <x:c r="G17" s="125" t="n">
        <x:v>48</x:v>
      </x:c>
      <x:c r="H17" s="141" t="n">
        <x:v>0.42857142857142855</x:v>
      </x:c>
      <x:c r="I17" s="107"/>
      <x:c r="J17" s="107"/>
    </x:row>
    <x:row r="18" ht="28" customHeight="1">
      <x:c r="A18" s="107"/>
      <x:c r="B18" s="107"/>
      <x:c r="C18" s="107"/>
      <x:c r="D18" s="125" t="str">
        <x:v>应力腐蚀开裂与疲劳</x:v>
      </x:c>
      <x:c r="E18" s="125" t="n">
        <x:v>12</x:v>
      </x:c>
      <x:c r="F18" s="125" t="n">
        <x:v>240</x:v>
      </x:c>
      <x:c r="G18" s="125" t="n">
        <x:v>0</x:v>
      </x:c>
      <x:c r="H18" s="141" t="n">
        <x:v>0</x:v>
      </x:c>
      <x:c r="I18" s="107"/>
      <x:c r="J18" s="107"/>
    </x:row>
    <x:row r="19" ht="28" customHeight="1">
      <x:c r="A19" s="107"/>
      <x:c r="B19" s="107"/>
      <x:c r="C19" s="107"/>
      <x:c r="D19" s="125" t="str">
        <x:v>第三方损伤与占压活动</x:v>
      </x:c>
      <x:c r="E19" s="125" t="n">
        <x:v>16</x:v>
      </x:c>
      <x:c r="F19" s="125" t="n">
        <x:v>320</x:v>
      </x:c>
      <x:c r="G19" s="125" t="n">
        <x:v>100</x:v>
      </x:c>
      <x:c r="H19" s="141" t="n">
        <x:v>0.3125</x:v>
      </x:c>
      <x:c r="I19" s="107"/>
      <x:c r="J19" s="107"/>
    </x:row>
    <x:row r="20" ht="28" customHeight="1">
      <x:c r="A20" s="107"/>
      <x:c r="B20" s="107"/>
      <x:c r="C20" s="107"/>
      <x:c r="D20" s="125" t="str">
        <x:v>阀室、隔离、监控与泄漏检测</x:v>
      </x:c>
      <x:c r="E20" s="125" t="n">
        <x:v>14</x:v>
      </x:c>
      <x:c r="F20" s="125" t="n">
        <x:v>280</x:v>
      </x:c>
      <x:c r="G20" s="125" t="n">
        <x:v>80</x:v>
      </x:c>
      <x:c r="H20" s="141" t="n">
        <x:v>0.2857142857142857</x:v>
      </x:c>
      <x:c r="I20" s="107"/>
      <x:c r="J20" s="107"/>
    </x:row>
    <x:row r="21" ht="28" customHeight="1">
      <x:c r="A21" s="107"/>
      <x:c r="B21" s="107"/>
      <x:c r="C21" s="107"/>
      <x:c r="D21" s="127" t="str">
        <x:v>气象、地面条件与扩散环境</x:v>
      </x:c>
      <x:c r="E21" s="127" t="n">
        <x:v>12</x:v>
      </x:c>
      <x:c r="F21" s="127" t="n">
        <x:v>154</x:v>
      </x:c>
      <x:c r="G21" s="127" t="n">
        <x:v>74</x:v>
      </x:c>
      <x:c r="H21" s="133" t="n">
        <x:v>0.4805194805194805</x:v>
      </x:c>
      <x:c r="I21" s="107"/>
      <x:c r="J21" s="107"/>
    </x:row>
    <x:row r="22">
      <x:c r="A22" s="107"/>
      <x:c r="B22" s="107"/>
      <x:c r="C22" s="107"/>
      <x:c r="D22" s="107"/>
      <x:c r="E22" s="107"/>
      <x:c r="F22" s="107"/>
      <x:c r="G22" s="107"/>
      <x:c r="H22" s="107"/>
      <x:c r="I22" s="107"/>
      <x:c r="J22" s="107"/>
    </x:row>
    <x:row r="23">
      <x:c r="A23" s="152" t="str">
        <x:v>修正模型：frequency.correction.synthetic_provided.v1；状态：SYNTHETIC_TEST_ONLY；类型：provided_factors；正式批准：否</x:v>
      </x:c>
      <x:c r="B23" s="152" t="str">
        <x:v>修正模型：frequency.correction.synthetic_provided.v1；状态：SYNTHETIC_TEST_ONLY；类型：provided_factors；正式批准：否</x:v>
      </x:c>
      <x:c r="C23" s="152" t="str">
        <x:v>修正模型：frequency.correction.synthetic_provided.v1；状态：SYNTHETIC_TEST_ONLY；类型：provided_factors；正式批准：否</x:v>
      </x:c>
      <x:c r="D23" s="152" t="str">
        <x:v>修正模型：frequency.correction.synthetic_provided.v1；状态：SYNTHETIC_TEST_ONLY；类型：provided_factors；正式批准：否</x:v>
      </x:c>
      <x:c r="E23" s="152" t="str">
        <x:v>修正模型：frequency.correction.synthetic_provided.v1；状态：SYNTHETIC_TEST_ONLY；类型：provided_factors；正式批准：否</x:v>
      </x:c>
      <x:c r="F23" s="152" t="str">
        <x:v>修正模型：frequency.correction.synthetic_provided.v1；状态：SYNTHETIC_TEST_ONLY；类型：provided_factors；正式批准：否</x:v>
      </x:c>
      <x:c r="G23" s="152" t="str">
        <x:v>修正模型：frequency.correction.synthetic_provided.v1；状态：SYNTHETIC_TEST_ONLY；类型：provided_factors；正式批准：否</x:v>
      </x:c>
      <x:c r="H23" s="152" t="str">
        <x:v>修正模型：frequency.correction.synthetic_provided.v1；状态：SYNTHETIC_TEST_ONLY；类型：provided_factors；正式批准：否</x:v>
      </x:c>
      <x:c r="I23" s="152" t="str">
        <x:v>修正模型：frequency.correction.synthetic_provided.v1；状态：SYNTHETIC_TEST_ONLY；类型：provided_factors；正式批准：否</x:v>
      </x:c>
      <x:c r="J23" s="152" t="str">
        <x:v>修正模型：frequency.correction.synthetic_provided.v1；状态：SYNTHETIC_TEST_ONLY；类型：provided_factors；正式批准：否</x:v>
      </x:c>
    </x:row>
    <x:row r="24">
      <x:c r="A24" s="107"/>
      <x:c r="B24" s="107"/>
      <x:c r="C24" s="107"/>
      <x:c r="D24" s="107"/>
      <x:c r="E24" s="107"/>
      <x:c r="F24" s="107"/>
      <x:c r="G24" s="107"/>
      <x:c r="H24" s="107"/>
      <x:c r="I24" s="107"/>
      <x:c r="J24" s="107"/>
    </x:row>
    <x:row r="25" ht="32" customHeight="1">
      <x:c r="A25" s="122" t="str">
        <x:v>管段</x:v>
      </x:c>
      <x:c r="B25" s="122" t="str">
        <x:v>external_corrosion</x:v>
      </x:c>
      <x:c r="C25" s="122" t="str">
        <x:v>internal_corrosion</x:v>
      </x:c>
      <x:c r="D25" s="122" t="str">
        <x:v>stress_corrosion_cracking</x:v>
      </x:c>
      <x:c r="E25" s="122" t="str">
        <x:v>manufacturing_construction</x:v>
      </x:c>
      <x:c r="F25" s="122" t="str">
        <x:v>third_party_damage</x:v>
      </x:c>
      <x:c r="G25" s="122" t="str">
        <x:v>natural_geohazard</x:v>
      </x:c>
      <x:c r="H25" s="122" t="str">
        <x:v>misoperation</x:v>
      </x:c>
      <x:c r="I25" s="107"/>
      <x:c r="J25" s="107"/>
    </x:row>
    <x:row r="26" ht="26" customHeight="1">
      <x:c r="A26" s="123" t="str">
        <x:v>SEG-001</x:v>
      </x:c>
      <x:c r="B26" s="153" t="n">
        <x:v>0.7</x:v>
      </x:c>
      <x:c r="C26" s="153" t="n">
        <x:v>0.8</x:v>
      </x:c>
      <x:c r="D26" s="153" t="n">
        <x:v>0.7</x:v>
      </x:c>
      <x:c r="E26" s="153" t="n">
        <x:v>0.6</x:v>
      </x:c>
      <x:c r="F26" s="153" t="n">
        <x:v>0.5</x:v>
      </x:c>
      <x:c r="G26" s="153" t="n">
        <x:v>0.4</x:v>
      </x:c>
      <x:c r="H26" s="153" t="n">
        <x:v>0.5</x:v>
      </x:c>
      <x:c r="I26" s="107"/>
      <x:c r="J26" s="107"/>
    </x:row>
    <x:row r="27" ht="26" customHeight="1">
      <x:c r="A27" s="125" t="str">
        <x:v>SEG-002</x:v>
      </x:c>
      <x:c r="B27" s="154" t="n">
        <x:v>0.7</x:v>
      </x:c>
      <x:c r="C27" s="154" t="n">
        <x:v>0.8</x:v>
      </x:c>
      <x:c r="D27" s="154" t="n">
        <x:v>0.7</x:v>
      </x:c>
      <x:c r="E27" s="154" t="n">
        <x:v>0.6</x:v>
      </x:c>
      <x:c r="F27" s="154" t="n">
        <x:v>0.5</x:v>
      </x:c>
      <x:c r="G27" s="154" t="n">
        <x:v>0.4</x:v>
      </x:c>
      <x:c r="H27" s="154" t="n">
        <x:v>0.5</x:v>
      </x:c>
      <x:c r="I27" s="107"/>
      <x:c r="J27" s="107"/>
    </x:row>
    <x:row r="28" ht="26" customHeight="1">
      <x:c r="A28" s="125" t="str">
        <x:v>SEG-003</x:v>
      </x:c>
      <x:c r="B28" s="154" t="n">
        <x:v>0.7</x:v>
      </x:c>
      <x:c r="C28" s="154" t="n">
        <x:v>0.8</x:v>
      </x:c>
      <x:c r="D28" s="154" t="n">
        <x:v>0.7</x:v>
      </x:c>
      <x:c r="E28" s="154" t="n">
        <x:v>0.6</x:v>
      </x:c>
      <x:c r="F28" s="154" t="n">
        <x:v>0.5</x:v>
      </x:c>
      <x:c r="G28" s="154" t="n">
        <x:v>0.4</x:v>
      </x:c>
      <x:c r="H28" s="154" t="n">
        <x:v>0.5</x:v>
      </x:c>
      <x:c r="I28" s="107"/>
      <x:c r="J28" s="107"/>
    </x:row>
    <x:row r="29" ht="26" customHeight="1">
      <x:c r="A29" s="125" t="str">
        <x:v>SEG-004</x:v>
      </x:c>
      <x:c r="B29" s="154" t="n">
        <x:v>0.7</x:v>
      </x:c>
      <x:c r="C29" s="154" t="n">
        <x:v>0.8</x:v>
      </x:c>
      <x:c r="D29" s="154" t="n">
        <x:v>0.7</x:v>
      </x:c>
      <x:c r="E29" s="154" t="n">
        <x:v>0.6</x:v>
      </x:c>
      <x:c r="F29" s="154" t="n">
        <x:v>0.5</x:v>
      </x:c>
      <x:c r="G29" s="154" t="n">
        <x:v>0.4</x:v>
      </x:c>
      <x:c r="H29" s="154" t="n">
        <x:v>0.5</x:v>
      </x:c>
      <x:c r="I29" s="107"/>
      <x:c r="J29" s="107"/>
    </x:row>
    <x:row r="30" ht="26" customHeight="1">
      <x:c r="A30" s="125" t="str">
        <x:v>SEG-005</x:v>
      </x:c>
      <x:c r="B30" s="154" t="n">
        <x:v>0.9</x:v>
      </x:c>
      <x:c r="C30" s="154" t="n">
        <x:v>0.8</x:v>
      </x:c>
      <x:c r="D30" s="154" t="n">
        <x:v>0.8</x:v>
      </x:c>
      <x:c r="E30" s="154" t="n">
        <x:v>0.7</x:v>
      </x:c>
      <x:c r="F30" s="154" t="n">
        <x:v>1.8</x:v>
      </x:c>
      <x:c r="G30" s="154" t="n">
        <x:v>0.5</x:v>
      </x:c>
      <x:c r="H30" s="154" t="n">
        <x:v>0.8</x:v>
      </x:c>
      <x:c r="I30" s="107"/>
      <x:c r="J30" s="107"/>
    </x:row>
    <x:row r="31" ht="26" customHeight="1">
      <x:c r="A31" s="125" t="str">
        <x:v>SEG-006</x:v>
      </x:c>
      <x:c r="B31" s="154" t="n">
        <x:v>0.9</x:v>
      </x:c>
      <x:c r="C31" s="154" t="n">
        <x:v>0.8</x:v>
      </x:c>
      <x:c r="D31" s="154" t="n">
        <x:v>0.8</x:v>
      </x:c>
      <x:c r="E31" s="154" t="n">
        <x:v>0.7</x:v>
      </x:c>
      <x:c r="F31" s="154" t="n">
        <x:v>1.8</x:v>
      </x:c>
      <x:c r="G31" s="154" t="n">
        <x:v>0.5</x:v>
      </x:c>
      <x:c r="H31" s="154" t="n">
        <x:v>0.8</x:v>
      </x:c>
      <x:c r="I31" s="107"/>
      <x:c r="J31" s="107"/>
    </x:row>
    <x:row r="32" ht="26" customHeight="1">
      <x:c r="A32" s="125" t="str">
        <x:v>SEG-007</x:v>
      </x:c>
      <x:c r="B32" s="154" t="n">
        <x:v>0.9</x:v>
      </x:c>
      <x:c r="C32" s="154" t="n">
        <x:v>0.8</x:v>
      </x:c>
      <x:c r="D32" s="154" t="n">
        <x:v>0.8</x:v>
      </x:c>
      <x:c r="E32" s="154" t="n">
        <x:v>0.7</x:v>
      </x:c>
      <x:c r="F32" s="154" t="n">
        <x:v>1.8</x:v>
      </x:c>
      <x:c r="G32" s="154" t="n">
        <x:v>0.5</x:v>
      </x:c>
      <x:c r="H32" s="154" t="n">
        <x:v>0.8</x:v>
      </x:c>
      <x:c r="I32" s="107"/>
      <x:c r="J32" s="107"/>
    </x:row>
    <x:row r="33" ht="26" customHeight="1">
      <x:c r="A33" s="125" t="str">
        <x:v>SEG-008</x:v>
      </x:c>
      <x:c r="B33" s="154" t="n">
        <x:v>0.9</x:v>
      </x:c>
      <x:c r="C33" s="154" t="n">
        <x:v>0.8</x:v>
      </x:c>
      <x:c r="D33" s="154" t="n">
        <x:v>0.8</x:v>
      </x:c>
      <x:c r="E33" s="154" t="n">
        <x:v>0.7</x:v>
      </x:c>
      <x:c r="F33" s="154" t="n">
        <x:v>1.8</x:v>
      </x:c>
      <x:c r="G33" s="154" t="n">
        <x:v>0.5</x:v>
      </x:c>
      <x:c r="H33" s="154" t="n">
        <x:v>0.8</x:v>
      </x:c>
      <x:c r="I33" s="107"/>
      <x:c r="J33" s="107"/>
    </x:row>
    <x:row r="34" ht="26" customHeight="1">
      <x:c r="A34" s="125" t="str">
        <x:v>SEG-009</x:v>
      </x:c>
      <x:c r="B34" s="154" t="n">
        <x:v>1</x:v>
      </x:c>
      <x:c r="C34" s="154" t="n">
        <x:v>0.9</x:v>
      </x:c>
      <x:c r="D34" s="154" t="n">
        <x:v>1</x:v>
      </x:c>
      <x:c r="E34" s="154" t="n">
        <x:v>0.8</x:v>
      </x:c>
      <x:c r="F34" s="154" t="n">
        <x:v>1.5</x:v>
      </x:c>
      <x:c r="G34" s="154" t="n">
        <x:v>0.5</x:v>
      </x:c>
      <x:c r="H34" s="154" t="n">
        <x:v>0.8</x:v>
      </x:c>
      <x:c r="I34" s="107"/>
      <x:c r="J34" s="107"/>
    </x:row>
    <x:row r="35" ht="26" customHeight="1">
      <x:c r="A35" s="125" t="str">
        <x:v>SEG-010</x:v>
      </x:c>
      <x:c r="B35" s="154" t="n">
        <x:v>1</x:v>
      </x:c>
      <x:c r="C35" s="154" t="n">
        <x:v>0.9</x:v>
      </x:c>
      <x:c r="D35" s="154" t="n">
        <x:v>1</x:v>
      </x:c>
      <x:c r="E35" s="154" t="n">
        <x:v>0.8</x:v>
      </x:c>
      <x:c r="F35" s="154" t="n">
        <x:v>1.5</x:v>
      </x:c>
      <x:c r="G35" s="154" t="n">
        <x:v>0.5</x:v>
      </x:c>
      <x:c r="H35" s="154" t="n">
        <x:v>0.8</x:v>
      </x:c>
      <x:c r="I35" s="107"/>
      <x:c r="J35" s="107"/>
    </x:row>
    <x:row r="36" ht="26" customHeight="1">
      <x:c r="A36" s="125" t="str">
        <x:v>SEG-011</x:v>
      </x:c>
      <x:c r="B36" s="154" t="n">
        <x:v>1</x:v>
      </x:c>
      <x:c r="C36" s="154" t="n">
        <x:v>0.9</x:v>
      </x:c>
      <x:c r="D36" s="154" t="n">
        <x:v>1</x:v>
      </x:c>
      <x:c r="E36" s="154" t="n">
        <x:v>0.8</x:v>
      </x:c>
      <x:c r="F36" s="154" t="n">
        <x:v>1.5</x:v>
      </x:c>
      <x:c r="G36" s="154" t="n">
        <x:v>0.5</x:v>
      </x:c>
      <x:c r="H36" s="154" t="n">
        <x:v>0.8</x:v>
      </x:c>
      <x:c r="I36" s="107"/>
      <x:c r="J36" s="107"/>
    </x:row>
    <x:row r="37" ht="26" customHeight="1">
      <x:c r="A37" s="125" t="str">
        <x:v>SEG-012</x:v>
      </x:c>
      <x:c r="B37" s="154" t="n">
        <x:v>1</x:v>
      </x:c>
      <x:c r="C37" s="154" t="n">
        <x:v>0.9</x:v>
      </x:c>
      <x:c r="D37" s="154" t="n">
        <x:v>1</x:v>
      </x:c>
      <x:c r="E37" s="154" t="n">
        <x:v>0.8</x:v>
      </x:c>
      <x:c r="F37" s="154" t="n">
        <x:v>1.5</x:v>
      </x:c>
      <x:c r="G37" s="154" t="n">
        <x:v>0.5</x:v>
      </x:c>
      <x:c r="H37" s="154" t="n">
        <x:v>0.8</x:v>
      </x:c>
      <x:c r="I37" s="107"/>
      <x:c r="J37" s="107"/>
    </x:row>
    <x:row r="38" ht="26" customHeight="1">
      <x:c r="A38" s="125" t="str">
        <x:v>SEG-013</x:v>
      </x:c>
      <x:c r="B38" s="154" t="n">
        <x:v>0.8</x:v>
      </x:c>
      <x:c r="C38" s="154" t="n">
        <x:v>0.9</x:v>
      </x:c>
      <x:c r="D38" s="154" t="n">
        <x:v>0.8</x:v>
      </x:c>
      <x:c r="E38" s="154" t="n">
        <x:v>0.7</x:v>
      </x:c>
      <x:c r="F38" s="154" t="n">
        <x:v>1.2</x:v>
      </x:c>
      <x:c r="G38" s="154" t="n">
        <x:v>0.4</x:v>
      </x:c>
      <x:c r="H38" s="154" t="n">
        <x:v>1.2</x:v>
      </x:c>
      <x:c r="I38" s="107"/>
      <x:c r="J38" s="107"/>
    </x:row>
    <x:row r="39" ht="26" customHeight="1">
      <x:c r="A39" s="125" t="str">
        <x:v>SEG-014</x:v>
      </x:c>
      <x:c r="B39" s="154" t="n">
        <x:v>0.8</x:v>
      </x:c>
      <x:c r="C39" s="154" t="n">
        <x:v>0.9</x:v>
      </x:c>
      <x:c r="D39" s="154" t="n">
        <x:v>0.8</x:v>
      </x:c>
      <x:c r="E39" s="154" t="n">
        <x:v>0.7</x:v>
      </x:c>
      <x:c r="F39" s="154" t="n">
        <x:v>1.2</x:v>
      </x:c>
      <x:c r="G39" s="154" t="n">
        <x:v>0.4</x:v>
      </x:c>
      <x:c r="H39" s="154" t="n">
        <x:v>1.2</x:v>
      </x:c>
      <x:c r="I39" s="107"/>
      <x:c r="J39" s="107"/>
    </x:row>
    <x:row r="40" ht="26" customHeight="1">
      <x:c r="A40" s="125" t="str">
        <x:v>SEG-015</x:v>
      </x:c>
      <x:c r="B40" s="154" t="n">
        <x:v>0.8</x:v>
      </x:c>
      <x:c r="C40" s="154" t="n">
        <x:v>0.9</x:v>
      </x:c>
      <x:c r="D40" s="154" t="n">
        <x:v>0.8</x:v>
      </x:c>
      <x:c r="E40" s="154" t="n">
        <x:v>0.7</x:v>
      </x:c>
      <x:c r="F40" s="154" t="n">
        <x:v>1.2</x:v>
      </x:c>
      <x:c r="G40" s="154" t="n">
        <x:v>0.4</x:v>
      </x:c>
      <x:c r="H40" s="154" t="n">
        <x:v>1.2</x:v>
      </x:c>
      <x:c r="I40" s="107"/>
      <x:c r="J40" s="107"/>
    </x:row>
    <x:row r="41" ht="26" customHeight="1">
      <x:c r="A41" s="125" t="str">
        <x:v>SEG-016</x:v>
      </x:c>
      <x:c r="B41" s="154" t="n">
        <x:v>0.8</x:v>
      </x:c>
      <x:c r="C41" s="154" t="n">
        <x:v>0.9</x:v>
      </x:c>
      <x:c r="D41" s="154" t="n">
        <x:v>0.8</x:v>
      </x:c>
      <x:c r="E41" s="154" t="n">
        <x:v>0.7</x:v>
      </x:c>
      <x:c r="F41" s="154" t="n">
        <x:v>1.2</x:v>
      </x:c>
      <x:c r="G41" s="154" t="n">
        <x:v>0.4</x:v>
      </x:c>
      <x:c r="H41" s="154" t="n">
        <x:v>1.2</x:v>
      </x:c>
      <x:c r="I41" s="107"/>
      <x:c r="J41" s="107"/>
    </x:row>
    <x:row r="42" ht="26" customHeight="1">
      <x:c r="A42" s="125" t="str">
        <x:v>SEG-017</x:v>
      </x:c>
      <x:c r="B42" s="154" t="n">
        <x:v>1.1</x:v>
      </x:c>
      <x:c r="C42" s="154" t="n">
        <x:v>0.8</x:v>
      </x:c>
      <x:c r="D42" s="154" t="n">
        <x:v>1</x:v>
      </x:c>
      <x:c r="E42" s="154" t="n">
        <x:v>0.8</x:v>
      </x:c>
      <x:c r="F42" s="154" t="n">
        <x:v>0.5</x:v>
      </x:c>
      <x:c r="G42" s="154" t="n">
        <x:v>3</x:v>
      </x:c>
      <x:c r="H42" s="154" t="n">
        <x:v>0.6</x:v>
      </x:c>
      <x:c r="I42" s="107"/>
      <x:c r="J42" s="107"/>
    </x:row>
    <x:row r="43" ht="26" customHeight="1">
      <x:c r="A43" s="125" t="str">
        <x:v>SEG-018</x:v>
      </x:c>
      <x:c r="B43" s="154" t="n">
        <x:v>1.1</x:v>
      </x:c>
      <x:c r="C43" s="154" t="n">
        <x:v>0.8</x:v>
      </x:c>
      <x:c r="D43" s="154" t="n">
        <x:v>1</x:v>
      </x:c>
      <x:c r="E43" s="154" t="n">
        <x:v>0.8</x:v>
      </x:c>
      <x:c r="F43" s="154" t="n">
        <x:v>0.5</x:v>
      </x:c>
      <x:c r="G43" s="154" t="n">
        <x:v>3</x:v>
      </x:c>
      <x:c r="H43" s="154" t="n">
        <x:v>0.6</x:v>
      </x:c>
      <x:c r="I43" s="107"/>
      <x:c r="J43" s="107"/>
    </x:row>
    <x:row r="44" ht="26" customHeight="1">
      <x:c r="A44" s="125" t="str">
        <x:v>SEG-019</x:v>
      </x:c>
      <x:c r="B44" s="154" t="n">
        <x:v>1.1</x:v>
      </x:c>
      <x:c r="C44" s="154" t="n">
        <x:v>0.8</x:v>
      </x:c>
      <x:c r="D44" s="154" t="n">
        <x:v>1</x:v>
      </x:c>
      <x:c r="E44" s="154" t="n">
        <x:v>0.8</x:v>
      </x:c>
      <x:c r="F44" s="154" t="n">
        <x:v>0.5</x:v>
      </x:c>
      <x:c r="G44" s="154" t="n">
        <x:v>3</x:v>
      </x:c>
      <x:c r="H44" s="154" t="n">
        <x:v>0.6</x:v>
      </x:c>
      <x:c r="I44" s="107"/>
      <x:c r="J44" s="107"/>
    </x:row>
    <x:row r="45" ht="26" customHeight="1">
      <x:c r="A45" s="127" t="str">
        <x:v>SEG-020</x:v>
      </x:c>
      <x:c r="B45" s="155" t="n">
        <x:v>1.1</x:v>
      </x:c>
      <x:c r="C45" s="155" t="n">
        <x:v>0.8</x:v>
      </x:c>
      <x:c r="D45" s="155" t="n">
        <x:v>1</x:v>
      </x:c>
      <x:c r="E45" s="155" t="n">
        <x:v>0.8</x:v>
      </x:c>
      <x:c r="F45" s="155" t="n">
        <x:v>0.5</x:v>
      </x:c>
      <x:c r="G45" s="155" t="n">
        <x:v>3</x:v>
      </x:c>
      <x:c r="H45" s="155" t="n">
        <x:v>0.6</x:v>
      </x:c>
      <x:c r="I45" s="107"/>
      <x:c r="J45" s="107"/>
    </x:row>
  </x:sheetData>
  <x:mergeCells>
    <x:mergeCell ref="A1:J1"/>
    <x:mergeCell ref="A2:J2"/>
    <x:mergeCell ref="A23:J23"/>
  </x:mergeCells>
  <x:conditionalFormatting sqref="H5:H2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B26:H45">
    <x:cfRule type="colorScale" priority="2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pageMargins left="0.7" right="0.7" top="0.75" bottom="0.75" header="0.3" footer="0.3"/>
  <x:tableParts count="2">
    <x:tablePart xmlns:r="http://schemas.openxmlformats.org/officeDocument/2006/relationships" r:id="R748b1ca4bd17427c"/>
    <x:tablePart xmlns:r="http://schemas.openxmlformats.org/officeDocument/2006/relationships" r:id="R9a38000c590f49d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14" hidden="0" customWidth="1"/>
    <x:col min="5" max="5" width="10" hidden="0" customWidth="1"/>
    <x:col min="6" max="6" width="13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3" hidden="0" customWidth="1"/>
    <x:col min="13" max="13" width="20" hidden="0" customWidth="1"/>
    <x:col min="14" max="14" width="14" hidden="0" customWidth="1"/>
    <x:col min="15" max="15" width="12" hidden="0" customWidth="1"/>
  </x:cols>
  <x:sheetData>
    <x:row r="1" ht="30" customHeight="1">
      <x:c r="A1" s="105" t="str">
        <x:v>PLL贡献最高的50个场景</x:v>
      </x:c>
      <x:c r="B1" s="105" t="str">
        <x:v>PLL贡献最高的50个场景</x:v>
      </x:c>
      <x:c r="C1" s="105" t="str">
        <x:v>PLL贡献最高的50个场景</x:v>
      </x:c>
      <x:c r="D1" s="105" t="str">
        <x:v>PLL贡献最高的50个场景</x:v>
      </x:c>
      <x:c r="E1" s="105" t="str">
        <x:v>PLL贡献最高的50个场景</x:v>
      </x:c>
      <x:c r="F1" s="105" t="str">
        <x:v>PLL贡献最高的50个场景</x:v>
      </x:c>
      <x:c r="G1" s="105" t="str">
        <x:v>PLL贡献最高的50个场景</x:v>
      </x:c>
      <x:c r="H1" s="105" t="str">
        <x:v>PLL贡献最高的50个场景</x:v>
      </x:c>
      <x:c r="I1" s="105" t="str">
        <x:v>PLL贡献最高的50个场景</x:v>
      </x:c>
      <x:c r="J1" s="105" t="str">
        <x:v>PLL贡献最高的50个场景</x:v>
      </x:c>
      <x:c r="K1" s="105" t="str">
        <x:v>PLL贡献最高的50个场景</x:v>
      </x:c>
      <x:c r="L1" s="105" t="str">
        <x:v>PLL贡献最高的50个场景</x:v>
      </x:c>
      <x:c r="M1" s="105" t="str">
        <x:v>PLL贡献最高的50个场景</x:v>
      </x:c>
      <x:c r="N1" s="105" t="str">
        <x:v>PLL贡献最高的50个场景</x:v>
      </x:c>
      <x:c r="O1" s="105" t="str">
        <x:v>PLL贡献最高的50个场景</x:v>
      </x:c>
    </x:row>
    <x:row r="2" ht="32" customHeight="1">
      <x:c r="A2" s="106" t="str">
        <x:v>用于定位主导风险的管段、泄漏点、孔径、天气和后果分支。这里只展示结果文件中的前50个正贡献场景。</x:v>
      </x:c>
      <x:c r="B2" s="106" t="str">
        <x:v>用于定位主导风险的管段、泄漏点、孔径、天气和后果分支。这里只展示结果文件中的前50个正贡献场景。</x:v>
      </x:c>
      <x:c r="C2" s="106" t="str">
        <x:v>用于定位主导风险的管段、泄漏点、孔径、天气和后果分支。这里只展示结果文件中的前50个正贡献场景。</x:v>
      </x:c>
      <x:c r="D2" s="106" t="str">
        <x:v>用于定位主导风险的管段、泄漏点、孔径、天气和后果分支。这里只展示结果文件中的前50个正贡献场景。</x:v>
      </x:c>
      <x:c r="E2" s="106" t="str">
        <x:v>用于定位主导风险的管段、泄漏点、孔径、天气和后果分支。这里只展示结果文件中的前50个正贡献场景。</x:v>
      </x:c>
      <x:c r="F2" s="106" t="str">
        <x:v>用于定位主导风险的管段、泄漏点、孔径、天气和后果分支。这里只展示结果文件中的前50个正贡献场景。</x:v>
      </x:c>
      <x:c r="G2" s="106" t="str">
        <x:v>用于定位主导风险的管段、泄漏点、孔径、天气和后果分支。这里只展示结果文件中的前50个正贡献场景。</x:v>
      </x:c>
      <x:c r="H2" s="106" t="str">
        <x:v>用于定位主导风险的管段、泄漏点、孔径、天气和后果分支。这里只展示结果文件中的前50个正贡献场景。</x:v>
      </x:c>
      <x:c r="I2" s="106" t="str">
        <x:v>用于定位主导风险的管段、泄漏点、孔径、天气和后果分支。这里只展示结果文件中的前50个正贡献场景。</x:v>
      </x:c>
      <x:c r="J2" s="106" t="str">
        <x:v>用于定位主导风险的管段、泄漏点、孔径、天气和后果分支。这里只展示结果文件中的前50个正贡献场景。</x:v>
      </x:c>
      <x:c r="K2" s="106" t="str">
        <x:v>用于定位主导风险的管段、泄漏点、孔径、天气和后果分支。这里只展示结果文件中的前50个正贡献场景。</x:v>
      </x:c>
      <x:c r="L2" s="106" t="str">
        <x:v>用于定位主导风险的管段、泄漏点、孔径、天气和后果分支。这里只展示结果文件中的前50个正贡献场景。</x:v>
      </x:c>
      <x:c r="M2" s="106" t="str">
        <x:v>用于定位主导风险的管段、泄漏点、孔径、天气和后果分支。这里只展示结果文件中的前50个正贡献场景。</x:v>
      </x:c>
      <x:c r="N2" s="106" t="str">
        <x:v>用于定位主导风险的管段、泄漏点、孔径、天气和后果分支。这里只展示结果文件中的前50个正贡献场景。</x:v>
      </x:c>
      <x:c r="O2" s="106" t="str">
        <x:v>用于定位主导风险的管段、泄漏点、孔径、天气和后果分支。这里只展示结果文件中的前50个正贡献场景。</x:v>
      </x:c>
    </x:row>
    <x:row r="3">
      <x:c r="A3" s="107"/>
      <x:c r="B3" s="107"/>
      <x:c r="C3" s="107"/>
      <x:c r="D3" s="107"/>
      <x:c r="E3" s="107"/>
      <x:c r="F3" s="107"/>
      <x:c r="G3" s="107"/>
      <x:c r="H3" s="107"/>
      <x:c r="I3" s="107"/>
      <x:c r="J3" s="107"/>
      <x:c r="K3" s="107"/>
      <x:c r="L3" s="107"/>
      <x:c r="M3" s="107"/>
      <x:c r="N3" s="107"/>
      <x:c r="O3" s="107"/>
    </x:row>
    <x:row r="4" ht="32" customHeight="1">
      <x:c r="A4" s="122" t="str">
        <x:v>序号</x:v>
      </x:c>
      <x:c r="B4" s="122" t="str">
        <x:v>管段</x:v>
      </x:c>
      <x:c r="C4" s="122" t="str">
        <x:v>泄漏点</x:v>
      </x:c>
      <x:c r="D4" s="122" t="str">
        <x:v>孔径</x:v>
      </x:c>
      <x:c r="E4" s="122" t="str">
        <x:v>天气</x:v>
      </x:c>
      <x:c r="F4" s="122" t="str">
        <x:v>分支</x:v>
      </x:c>
      <x:c r="G4" s="122" t="str">
        <x:v>年频率</x:v>
      </x:c>
      <x:c r="H4" s="122" t="str">
        <x:v>释放率kg/s</x:v>
      </x:c>
      <x:c r="I4" s="122" t="str">
        <x:v>期望死亡人数</x:v>
      </x:c>
      <x:c r="J4" s="122" t="str">
        <x:v>PLL贡献/年</x:v>
      </x:c>
      <x:c r="K4" s="122" t="str">
        <x:v>最大条件死亡概率</x:v>
      </x:c>
      <x:c r="L4" s="122" t="str">
        <x:v>最大受体</x:v>
      </x:c>
      <x:c r="M4" s="122" t="str">
        <x:v>效应类型</x:v>
      </x:c>
      <x:c r="N4" s="122" t="str">
        <x:v>效应值</x:v>
      </x:c>
      <x:c r="O4" s="122" t="str">
        <x:v>单位</x:v>
      </x:c>
    </x:row>
    <x:row r="5" ht="30" customHeight="1">
      <x:c r="A5" s="123" t="n">
        <x:v>1</x:v>
      </x:c>
      <x:c r="B5" s="123" t="str">
        <x:v>SEG-011</x:v>
      </x:c>
      <x:c r="C5" s="123" t="str">
        <x:v>SEG-011-LP-0007</x:v>
      </x:c>
      <x:c r="D5" s="123" t="str">
        <x:v>rupture</x:v>
      </x:c>
      <x:c r="E5" s="123" t="str">
        <x:v>W01</x:v>
      </x:c>
      <x:c r="F5" s="123" t="str">
        <x:v>jet_fire</x:v>
      </x:c>
      <x:c r="G5" s="124" t="n">
        <x:v>4.7438999999999986e-8</x:v>
      </x:c>
      <x:c r="H5" s="156" t="n">
        <x:v>22654.18132788052</x:v>
      </x:c>
      <x:c r="I5" s="156" t="n">
        <x:v>2450.000000003137</x:v>
      </x:c>
      <x:c r="J5" s="156" t="n">
        <x:v>0.00011622555000014877</x:v>
      </x:c>
      <x:c r="K5" s="138" t="n">
        <x:v>1</x:v>
      </x:c>
      <x:c r="L5" s="123" t="str">
        <x:v>POP-008</x:v>
      </x:c>
      <x:c r="M5" s="123" t="str">
        <x:v>thermal_radiation</x:v>
      </x:c>
      <x:c r="N5" s="123" t="n">
        <x:v>41.17750217316112</x:v>
      </x:c>
      <x:c r="O5" s="123" t="str">
        <x:v>kW/m2</x:v>
      </x:c>
    </x:row>
    <x:row r="6" ht="30" customHeight="1">
      <x:c r="A6" s="125" t="n">
        <x:v>2</x:v>
      </x:c>
      <x:c r="B6" s="125" t="str">
        <x:v>SEG-011</x:v>
      </x:c>
      <x:c r="C6" s="125" t="str">
        <x:v>SEG-011-LP-0006</x:v>
      </x:c>
      <x:c r="D6" s="125" t="str">
        <x:v>rupture</x:v>
      </x:c>
      <x:c r="E6" s="125" t="str">
        <x:v>W01</x:v>
      </x:c>
      <x:c r="F6" s="125" t="str">
        <x:v>jet_fire</x:v>
      </x:c>
      <x:c r="G6" s="126" t="n">
        <x:v>4.7438999999999986e-8</x:v>
      </x:c>
      <x:c r="H6" s="157" t="n">
        <x:v>20290.556447348506</x:v>
      </x:c>
      <x:c r="I6" s="157" t="n">
        <x:v>2450.000000000022</x:v>
      </x:c>
      <x:c r="J6" s="157" t="n">
        <x:v>0.00011622555000000101</x:v>
      </x:c>
      <x:c r="K6" s="141" t="n">
        <x:v>1</x:v>
      </x:c>
      <x:c r="L6" s="125" t="str">
        <x:v>POP-008</x:v>
      </x:c>
      <x:c r="M6" s="125" t="str">
        <x:v>thermal_radiation</x:v>
      </x:c>
      <x:c r="N6" s="125" t="n">
        <x:v>38.133022525303204</x:v>
      </x:c>
      <x:c r="O6" s="125" t="str">
        <x:v>kW/m2</x:v>
      </x:c>
    </x:row>
    <x:row r="7" ht="30" customHeight="1">
      <x:c r="A7" s="125" t="n">
        <x:v>3</x:v>
      </x:c>
      <x:c r="B7" s="125" t="str">
        <x:v>SEG-012</x:v>
      </x:c>
      <x:c r="C7" s="125" t="str">
        <x:v>SEG-012-LP-0001</x:v>
      </x:c>
      <x:c r="D7" s="125" t="str">
        <x:v>rupture</x:v>
      </x:c>
      <x:c r="E7" s="125" t="str">
        <x:v>W01</x:v>
      </x:c>
      <x:c r="F7" s="125" t="str">
        <x:v>jet_fire</x:v>
      </x:c>
      <x:c r="G7" s="126" t="n">
        <x:v>4.7438999999999986e-8</x:v>
      </x:c>
      <x:c r="H7" s="157" t="n">
        <x:v>22654.18132788052</x:v>
      </x:c>
      <x:c r="I7" s="157" t="n">
        <x:v>2335.776924490702</x:v>
      </x:c>
      <x:c r="J7" s="157" t="n">
        <x:v>0.00011080692152091438</x:v>
      </x:c>
      <x:c r="K7" s="141" t="n">
        <x:v>1</x:v>
      </x:c>
      <x:c r="L7" s="125" t="str">
        <x:v>POP-008</x:v>
      </x:c>
      <x:c r="M7" s="125" t="str">
        <x:v>thermal_radiation</x:v>
      </x:c>
      <x:c r="N7" s="125" t="n">
        <x:v>49.635683347631485</x:v>
      </x:c>
      <x:c r="O7" s="125" t="str">
        <x:v>kW/m2</x:v>
      </x:c>
    </x:row>
    <x:row r="8" ht="30" customHeight="1">
      <x:c r="A8" s="125" t="n">
        <x:v>4</x:v>
      </x:c>
      <x:c r="B8" s="125" t="str">
        <x:v>SEG-012</x:v>
      </x:c>
      <x:c r="C8" s="125" t="str">
        <x:v>SEG-012-LP-0002</x:v>
      </x:c>
      <x:c r="D8" s="125" t="str">
        <x:v>rupture</x:v>
      </x:c>
      <x:c r="E8" s="125" t="str">
        <x:v>W01</x:v>
      </x:c>
      <x:c r="F8" s="125" t="str">
        <x:v>jet_fire</x:v>
      </x:c>
      <x:c r="G8" s="126" t="n">
        <x:v>4.7438999999999986e-8</x:v>
      </x:c>
      <x:c r="H8" s="157" t="n">
        <x:v>20290.556447348506</x:v>
      </x:c>
      <x:c r="I8" s="157" t="n">
        <x:v>2334.1474537460263</x:v>
      </x:c>
      <x:c r="J8" s="157" t="n">
        <x:v>0.00011072962105825771</x:v>
      </x:c>
      <x:c r="K8" s="141" t="n">
        <x:v>1</x:v>
      </x:c>
      <x:c r="L8" s="125" t="str">
        <x:v>POP-008</x:v>
      </x:c>
      <x:c r="M8" s="125" t="str">
        <x:v>thermal_radiation</x:v>
      </x:c>
      <x:c r="N8" s="125" t="n">
        <x:v>71.6073957090725</x:v>
      </x:c>
      <x:c r="O8" s="125" t="str">
        <x:v>kW/m2</x:v>
      </x:c>
    </x:row>
    <x:row r="9" ht="30" customHeight="1">
      <x:c r="A9" s="125" t="n">
        <x:v>5</x:v>
      </x:c>
      <x:c r="B9" s="125" t="str">
        <x:v>SEG-012</x:v>
      </x:c>
      <x:c r="C9" s="125" t="str">
        <x:v>SEG-012-LP-0003</x:v>
      </x:c>
      <x:c r="D9" s="125" t="str">
        <x:v>rupture</x:v>
      </x:c>
      <x:c r="E9" s="125" t="str">
        <x:v>W01</x:v>
      </x:c>
      <x:c r="F9" s="125" t="str">
        <x:v>jet_fire</x:v>
      </x:c>
      <x:c r="G9" s="126" t="n">
        <x:v>4.7438999999999986e-8</x:v>
      </x:c>
      <x:c r="H9" s="157" t="n">
        <x:v>19402.631664138586</x:v>
      </x:c>
      <x:c r="I9" s="157" t="n">
        <x:v>2332.180770562715</x:v>
      </x:c>
      <x:c r="J9" s="157" t="n">
        <x:v>0.00011063632357472462</x:v>
      </x:c>
      <x:c r="K9" s="141" t="n">
        <x:v>1</x:v>
      </x:c>
      <x:c r="L9" s="125" t="str">
        <x:v>POP-008</x:v>
      </x:c>
      <x:c r="M9" s="125" t="str">
        <x:v>thermal_radiation</x:v>
      </x:c>
      <x:c r="N9" s="125" t="n">
        <x:v>102.13911892399868</x:v>
      </x:c>
      <x:c r="O9" s="125" t="str">
        <x:v>kW/m2</x:v>
      </x:c>
    </x:row>
    <x:row r="10" ht="30" customHeight="1">
      <x:c r="A10" s="125" t="n">
        <x:v>6</x:v>
      </x:c>
      <x:c r="B10" s="125" t="str">
        <x:v>SEG-012</x:v>
      </x:c>
      <x:c r="C10" s="125" t="str">
        <x:v>SEG-012-LP-0004</x:v>
      </x:c>
      <x:c r="D10" s="125" t="str">
        <x:v>rupture</x:v>
      </x:c>
      <x:c r="E10" s="125" t="str">
        <x:v>W01</x:v>
      </x:c>
      <x:c r="F10" s="125" t="str">
        <x:v>jet_fire</x:v>
      </x:c>
      <x:c r="G10" s="126" t="n">
        <x:v>4.7438999999999986e-8</x:v>
      </x:c>
      <x:c r="H10" s="157" t="n">
        <x:v>19152.133934657908</x:v>
      </x:c>
      <x:c r="I10" s="157" t="n">
        <x:v>2331.092926320769</x:v>
      </x:c>
      <x:c r="J10" s="157" t="n">
        <x:v>0.00011058471733173093</x:v>
      </x:c>
      <x:c r="K10" s="141" t="n">
        <x:v>1</x:v>
      </x:c>
      <x:c r="L10" s="125" t="str">
        <x:v>POP-008</x:v>
      </x:c>
      <x:c r="M10" s="125" t="str">
        <x:v>thermal_radiation</x:v>
      </x:c>
      <x:c r="N10" s="125" t="n">
        <x:v>147.23063924425844</x:v>
      </x:c>
      <x:c r="O10" s="125" t="str">
        <x:v>kW/m2</x:v>
      </x:c>
    </x:row>
    <x:row r="11" ht="30" customHeight="1">
      <x:c r="A11" s="125" t="n">
        <x:v>7</x:v>
      </x:c>
      <x:c r="B11" s="125" t="str">
        <x:v>SEG-012</x:v>
      </x:c>
      <x:c r="C11" s="125" t="str">
        <x:v>SEG-012-LP-0007</x:v>
      </x:c>
      <x:c r="D11" s="125" t="str">
        <x:v>rupture</x:v>
      </x:c>
      <x:c r="E11" s="125" t="str">
        <x:v>W01</x:v>
      </x:c>
      <x:c r="F11" s="125" t="str">
        <x:v>jet_fire</x:v>
      </x:c>
      <x:c r="G11" s="126" t="n">
        <x:v>4.7438999999999986e-8</x:v>
      </x:c>
      <x:c r="H11" s="157" t="n">
        <x:v>22654.18132788052</x:v>
      </x:c>
      <x:c r="I11" s="157" t="n">
        <x:v>2331.0520798119314</x:v>
      </x:c>
      <x:c r="J11" s="157" t="n">
        <x:v>0.00011058277961419818</x:v>
      </x:c>
      <x:c r="K11" s="141" t="n">
        <x:v>1</x:v>
      </x:c>
      <x:c r="L11" s="125" t="str">
        <x:v>POP-008</x:v>
      </x:c>
      <x:c r="M11" s="125" t="str">
        <x:v>thermal_radiation</x:v>
      </x:c>
      <x:c r="N11" s="125" t="n">
        <x:v>306.0177025243165</x:v>
      </x:c>
      <x:c r="O11" s="125" t="str">
        <x:v>kW/m2</x:v>
      </x:c>
    </x:row>
    <x:row r="12" ht="30" customHeight="1">
      <x:c r="A12" s="125" t="n">
        <x:v>8</x:v>
      </x:c>
      <x:c r="B12" s="125" t="str">
        <x:v>SEG-012</x:v>
      </x:c>
      <x:c r="C12" s="125" t="str">
        <x:v>SEG-012-LP-0005</x:v>
      </x:c>
      <x:c r="D12" s="125" t="str">
        <x:v>rupture</x:v>
      </x:c>
      <x:c r="E12" s="125" t="str">
        <x:v>W01</x:v>
      </x:c>
      <x:c r="F12" s="125" t="str">
        <x:v>jet_fire</x:v>
      </x:c>
      <x:c r="G12" s="126" t="n">
        <x:v>4.7438999999999986e-8</x:v>
      </x:c>
      <x:c r="H12" s="157" t="n">
        <x:v>19402.631664138586</x:v>
      </x:c>
      <x:c r="I12" s="157" t="n">
        <x:v>2330.640527899285</x:v>
      </x:c>
      <x:c r="J12" s="157" t="n">
        <x:v>0.00011056325600301416</x:v>
      </x:c>
      <x:c r="K12" s="141" t="n">
        <x:v>1</x:v>
      </x:c>
      <x:c r="L12" s="125" t="str">
        <x:v>POP-008</x:v>
      </x:c>
      <x:c r="M12" s="125" t="str">
        <x:v>thermal_radiation</x:v>
      </x:c>
      <x:c r="N12" s="125" t="n">
        <x:v>212.18166327838262</x:v>
      </x:c>
      <x:c r="O12" s="125" t="str">
        <x:v>kW/m2</x:v>
      </x:c>
    </x:row>
    <x:row r="13" ht="30" customHeight="1">
      <x:c r="A13" s="125" t="n">
        <x:v>9</x:v>
      </x:c>
      <x:c r="B13" s="125" t="str">
        <x:v>SEG-012</x:v>
      </x:c>
      <x:c r="C13" s="125" t="str">
        <x:v>SEG-012-LP-0006</x:v>
      </x:c>
      <x:c r="D13" s="125" t="str">
        <x:v>rupture</x:v>
      </x:c>
      <x:c r="E13" s="125" t="str">
        <x:v>W01</x:v>
      </x:c>
      <x:c r="F13" s="125" t="str">
        <x:v>jet_fire</x:v>
      </x:c>
      <x:c r="G13" s="126" t="n">
        <x:v>4.7438999999999986e-8</x:v>
      </x:c>
      <x:c r="H13" s="157" t="n">
        <x:v>20290.556447348506</x:v>
      </x:c>
      <x:c r="I13" s="157" t="n">
        <x:v>2330.5470902037982</x:v>
      </x:c>
      <x:c r="J13" s="157" t="n">
        <x:v>0.00011055882341217795</x:v>
      </x:c>
      <x:c r="K13" s="141" t="n">
        <x:v>1</x:v>
      </x:c>
      <x:c r="L13" s="125" t="str">
        <x:v>POP-008</x:v>
      </x:c>
      <x:c r="M13" s="125" t="str">
        <x:v>thermal_radiation</x:v>
      </x:c>
      <x:c r="N13" s="125" t="n">
        <x:v>289.22323126656664</x:v>
      </x:c>
      <x:c r="O13" s="125" t="str">
        <x:v>kW/m2</x:v>
      </x:c>
    </x:row>
    <x:row r="14" ht="30" customHeight="1">
      <x:c r="A14" s="125" t="n">
        <x:v>10</x:v>
      </x:c>
      <x:c r="B14" s="125" t="str">
        <x:v>SEG-011</x:v>
      </x:c>
      <x:c r="C14" s="125" t="str">
        <x:v>SEG-011-LP-0007</x:v>
      </x:c>
      <x:c r="D14" s="125" t="str">
        <x:v>rupture</x:v>
      </x:c>
      <x:c r="E14" s="125" t="str">
        <x:v>W02</x:v>
      </x:c>
      <x:c r="F14" s="125" t="str">
        <x:v>jet_fire</x:v>
      </x:c>
      <x:c r="G14" s="126" t="n">
        <x:v>3.9532499999999994e-8</x:v>
      </x:c>
      <x:c r="H14" s="157" t="n">
        <x:v>22654.18132788052</x:v>
      </x:c>
      <x:c r="I14" s="157" t="n">
        <x:v>2450.000000003137</x:v>
      </x:c>
      <x:c r="J14" s="157" t="n">
        <x:v>0.00009685462500012399</x:v>
      </x:c>
      <x:c r="K14" s="141" t="n">
        <x:v>1</x:v>
      </x:c>
      <x:c r="L14" s="125" t="str">
        <x:v>POP-008</x:v>
      </x:c>
      <x:c r="M14" s="125" t="str">
        <x:v>thermal_radiation</x:v>
      </x:c>
      <x:c r="N14" s="125" t="n">
        <x:v>41.17750217316112</x:v>
      </x:c>
      <x:c r="O14" s="125" t="str">
        <x:v>kW/m2</x:v>
      </x:c>
    </x:row>
    <x:row r="15" ht="30" customHeight="1">
      <x:c r="A15" s="125" t="n">
        <x:v>11</x:v>
      </x:c>
      <x:c r="B15" s="125" t="str">
        <x:v>SEG-011</x:v>
      </x:c>
      <x:c r="C15" s="125" t="str">
        <x:v>SEG-011-LP-0007</x:v>
      </x:c>
      <x:c r="D15" s="125" t="str">
        <x:v>rupture</x:v>
      </x:c>
      <x:c r="E15" s="125" t="str">
        <x:v>W04</x:v>
      </x:c>
      <x:c r="F15" s="125" t="str">
        <x:v>jet_fire</x:v>
      </x:c>
      <x:c r="G15" s="126" t="n">
        <x:v>3.9532499999999994e-8</x:v>
      </x:c>
      <x:c r="H15" s="157" t="n">
        <x:v>22654.18132788052</x:v>
      </x:c>
      <x:c r="I15" s="157" t="n">
        <x:v>2450.000000003137</x:v>
      </x:c>
      <x:c r="J15" s="157" t="n">
        <x:v>0.00009685462500012399</x:v>
      </x:c>
      <x:c r="K15" s="141" t="n">
        <x:v>1</x:v>
      </x:c>
      <x:c r="L15" s="125" t="str">
        <x:v>POP-008</x:v>
      </x:c>
      <x:c r="M15" s="125" t="str">
        <x:v>thermal_radiation</x:v>
      </x:c>
      <x:c r="N15" s="125" t="n">
        <x:v>41.17750217316112</x:v>
      </x:c>
      <x:c r="O15" s="125" t="str">
        <x:v>kW/m2</x:v>
      </x:c>
    </x:row>
    <x:row r="16" ht="30" customHeight="1">
      <x:c r="A16" s="125" t="n">
        <x:v>12</x:v>
      </x:c>
      <x:c r="B16" s="125" t="str">
        <x:v>SEG-011</x:v>
      </x:c>
      <x:c r="C16" s="125" t="str">
        <x:v>SEG-011-LP-0006</x:v>
      </x:c>
      <x:c r="D16" s="125" t="str">
        <x:v>rupture</x:v>
      </x:c>
      <x:c r="E16" s="125" t="str">
        <x:v>W02</x:v>
      </x:c>
      <x:c r="F16" s="125" t="str">
        <x:v>jet_fire</x:v>
      </x:c>
      <x:c r="G16" s="126" t="n">
        <x:v>3.9532499999999994e-8</x:v>
      </x:c>
      <x:c r="H16" s="157" t="n">
        <x:v>20290.556447348506</x:v>
      </x:c>
      <x:c r="I16" s="157" t="n">
        <x:v>2450.000000000022</x:v>
      </x:c>
      <x:c r="J16" s="157" t="n">
        <x:v>0.00009685462500000084</x:v>
      </x:c>
      <x:c r="K16" s="141" t="n">
        <x:v>1</x:v>
      </x:c>
      <x:c r="L16" s="125" t="str">
        <x:v>POP-008</x:v>
      </x:c>
      <x:c r="M16" s="125" t="str">
        <x:v>thermal_radiation</x:v>
      </x:c>
      <x:c r="N16" s="125" t="n">
        <x:v>38.133022525303204</x:v>
      </x:c>
      <x:c r="O16" s="125" t="str">
        <x:v>kW/m2</x:v>
      </x:c>
    </x:row>
    <x:row r="17" ht="30" customHeight="1">
      <x:c r="A17" s="125" t="n">
        <x:v>13</x:v>
      </x:c>
      <x:c r="B17" s="125" t="str">
        <x:v>SEG-011</x:v>
      </x:c>
      <x:c r="C17" s="125" t="str">
        <x:v>SEG-011-LP-0006</x:v>
      </x:c>
      <x:c r="D17" s="125" t="str">
        <x:v>rupture</x:v>
      </x:c>
      <x:c r="E17" s="125" t="str">
        <x:v>W04</x:v>
      </x:c>
      <x:c r="F17" s="125" t="str">
        <x:v>jet_fire</x:v>
      </x:c>
      <x:c r="G17" s="126" t="n">
        <x:v>3.9532499999999994e-8</x:v>
      </x:c>
      <x:c r="H17" s="157" t="n">
        <x:v>20290.556447348506</x:v>
      </x:c>
      <x:c r="I17" s="157" t="n">
        <x:v>2450.000000000022</x:v>
      </x:c>
      <x:c r="J17" s="157" t="n">
        <x:v>0.00009685462500000084</x:v>
      </x:c>
      <x:c r="K17" s="141" t="n">
        <x:v>1</x:v>
      </x:c>
      <x:c r="L17" s="125" t="str">
        <x:v>POP-008</x:v>
      </x:c>
      <x:c r="M17" s="125" t="str">
        <x:v>thermal_radiation</x:v>
      </x:c>
      <x:c r="N17" s="125" t="n">
        <x:v>38.133022525303204</x:v>
      </x:c>
      <x:c r="O17" s="125" t="str">
        <x:v>kW/m2</x:v>
      </x:c>
    </x:row>
    <x:row r="18" ht="30" customHeight="1">
      <x:c r="A18" s="125" t="n">
        <x:v>14</x:v>
      </x:c>
      <x:c r="B18" s="125" t="str">
        <x:v>SEG-011</x:v>
      </x:c>
      <x:c r="C18" s="125" t="str">
        <x:v>SEG-011-LP-0005</x:v>
      </x:c>
      <x:c r="D18" s="125" t="str">
        <x:v>rupture</x:v>
      </x:c>
      <x:c r="E18" s="125" t="str">
        <x:v>W01</x:v>
      </x:c>
      <x:c r="F18" s="125" t="str">
        <x:v>jet_fire</x:v>
      </x:c>
      <x:c r="G18" s="126" t="n">
        <x:v>4.7438999999999986e-8</x:v>
      </x:c>
      <x:c r="H18" s="157" t="n">
        <x:v>19402.631664138586</x:v>
      </x:c>
      <x:c r="I18" s="157" t="n">
        <x:v>2018.3698942853782</x:v>
      </x:c>
      <x:c r="J18" s="157" t="n">
        <x:v>0.00009574944941500403</x:v>
      </x:c>
      <x:c r="K18" s="141" t="n">
        <x:v>1</x:v>
      </x:c>
      <x:c r="L18" s="125" t="str">
        <x:v>POP-008</x:v>
      </x:c>
      <x:c r="M18" s="125" t="str">
        <x:v>thermal_radiation</x:v>
      </x:c>
      <x:c r="N18" s="125" t="n">
        <x:v>33.35149118525037</x:v>
      </x:c>
      <x:c r="O18" s="125" t="str">
        <x:v>kW/m2</x:v>
      </x:c>
    </x:row>
    <x:row r="19" ht="30" customHeight="1">
      <x:c r="A19" s="125" t="n">
        <x:v>15</x:v>
      </x:c>
      <x:c r="B19" s="125" t="str">
        <x:v>SEG-011</x:v>
      </x:c>
      <x:c r="C19" s="125" t="str">
        <x:v>SEG-011-LP-0004</x:v>
      </x:c>
      <x:c r="D19" s="125" t="str">
        <x:v>rupture</x:v>
      </x:c>
      <x:c r="E19" s="125" t="str">
        <x:v>W01</x:v>
      </x:c>
      <x:c r="F19" s="125" t="str">
        <x:v>jet_fire</x:v>
      </x:c>
      <x:c r="G19" s="126" t="n">
        <x:v>4.7438999999999986e-8</x:v>
      </x:c>
      <x:c r="H19" s="157" t="n">
        <x:v>19152.133934657908</x:v>
      </x:c>
      <x:c r="I19" s="157" t="n">
        <x:v>2016.5949785219716</x:v>
      </x:c>
      <x:c r="J19" s="157" t="n">
        <x:v>0.00009566524918610378</x:v>
      </x:c>
      <x:c r="K19" s="141" t="n">
        <x:v>1</x:v>
      </x:c>
      <x:c r="L19" s="125" t="str">
        <x:v>POP-008</x:v>
      </x:c>
      <x:c r="M19" s="125" t="str">
        <x:v>thermal_radiation</x:v>
      </x:c>
      <x:c r="N19" s="125" t="n">
        <x:v>28.76984555662593</x:v>
      </x:c>
      <x:c r="O19" s="125" t="str">
        <x:v>kW/m2</x:v>
      </x:c>
    </x:row>
    <x:row r="20" ht="30" customHeight="1">
      <x:c r="A20" s="125" t="n">
        <x:v>16</x:v>
      </x:c>
      <x:c r="B20" s="125" t="str">
        <x:v>SEG-011</x:v>
      </x:c>
      <x:c r="C20" s="125" t="str">
        <x:v>SEG-011-LP-0001</x:v>
      </x:c>
      <x:c r="D20" s="125" t="str">
        <x:v>rupture</x:v>
      </x:c>
      <x:c r="E20" s="125" t="str">
        <x:v>W01</x:v>
      </x:c>
      <x:c r="F20" s="125" t="str">
        <x:v>jet_fire</x:v>
      </x:c>
      <x:c r="G20" s="126" t="n">
        <x:v>4.7438999999999986e-8</x:v>
      </x:c>
      <x:c r="H20" s="157" t="n">
        <x:v>22654.18132788052</x:v>
      </x:c>
      <x:c r="I20" s="157" t="n">
        <x:v>2015.6708699453752</x:v>
      </x:c>
      <x:c r="J20" s="157" t="n">
        <x:v>0.00009562141039933863</x:v>
      </x:c>
      <x:c r="K20" s="141" t="n">
        <x:v>1</x:v>
      </x:c>
      <x:c r="L20" s="125" t="str">
        <x:v>POP-008</x:v>
      </x:c>
      <x:c r="M20" s="125" t="str">
        <x:v>thermal_radiation</x:v>
      </x:c>
      <x:c r="N20" s="125" t="n">
        <x:v>18.646368505962453</x:v>
      </x:c>
      <x:c r="O20" s="125" t="str">
        <x:v>kW/m2</x:v>
      </x:c>
    </x:row>
    <x:row r="21" ht="30" customHeight="1">
      <x:c r="A21" s="125" t="n">
        <x:v>17</x:v>
      </x:c>
      <x:c r="B21" s="125" t="str">
        <x:v>SEG-011</x:v>
      </x:c>
      <x:c r="C21" s="125" t="str">
        <x:v>SEG-011-LP-0003</x:v>
      </x:c>
      <x:c r="D21" s="125" t="str">
        <x:v>rupture</x:v>
      </x:c>
      <x:c r="E21" s="125" t="str">
        <x:v>W01</x:v>
      </x:c>
      <x:c r="F21" s="125" t="str">
        <x:v>jet_fire</x:v>
      </x:c>
      <x:c r="G21" s="126" t="n">
        <x:v>4.7438999999999986e-8</x:v>
      </x:c>
      <x:c r="H21" s="157" t="n">
        <x:v>19402.631664138586</x:v>
      </x:c>
      <x:c r="I21" s="157" t="n">
        <x:v>2014.346293253443</x:v>
      </x:c>
      <x:c r="J21" s="157" t="n">
        <x:v>0.00009555857380565006</x:v>
      </x:c>
      <x:c r="K21" s="141" t="n">
        <x:v>1</x:v>
      </x:c>
      <x:c r="L21" s="125" t="str">
        <x:v>POP-008</x:v>
      </x:c>
      <x:c r="M21" s="125" t="str">
        <x:v>thermal_radiation</x:v>
      </x:c>
      <x:c r="N21" s="125" t="n">
        <x:v>24.814278347363654</x:v>
      </x:c>
      <x:c r="O21" s="125" t="str">
        <x:v>kW/m2</x:v>
      </x:c>
    </x:row>
    <x:row r="22" ht="30" customHeight="1">
      <x:c r="A22" s="125" t="n">
        <x:v>18</x:v>
      </x:c>
      <x:c r="B22" s="125" t="str">
        <x:v>SEG-010</x:v>
      </x:c>
      <x:c r="C22" s="125" t="str">
        <x:v>SEG-010-LP-0006</x:v>
      </x:c>
      <x:c r="D22" s="125" t="str">
        <x:v>rupture</x:v>
      </x:c>
      <x:c r="E22" s="125" t="str">
        <x:v>W01</x:v>
      </x:c>
      <x:c r="F22" s="125" t="str">
        <x:v>jet_fire</x:v>
      </x:c>
      <x:c r="G22" s="126" t="n">
        <x:v>4.7439e-8</x:v>
      </x:c>
      <x:c r="H22" s="157" t="n">
        <x:v>23106.87162370006</x:v>
      </x:c>
      <x:c r="I22" s="157" t="n">
        <x:v>2013.726992507381</x:v>
      </x:c>
      <x:c r="J22" s="157" t="n">
        <x:v>0.00009552919479755764</x:v>
      </x:c>
      <x:c r="K22" s="141" t="n">
        <x:v>1</x:v>
      </x:c>
      <x:c r="L22" s="125" t="str">
        <x:v>POP-008</x:v>
      </x:c>
      <x:c r="M22" s="125" t="str">
        <x:v>thermal_radiation</x:v>
      </x:c>
      <x:c r="N22" s="125" t="n">
        <x:v>17.079742059664888</x:v>
      </x:c>
      <x:c r="O22" s="125" t="str">
        <x:v>kW/m2</x:v>
      </x:c>
    </x:row>
    <x:row r="23" ht="30" customHeight="1">
      <x:c r="A23" s="125" t="n">
        <x:v>19</x:v>
      </x:c>
      <x:c r="B23" s="125" t="str">
        <x:v>SEG-011</x:v>
      </x:c>
      <x:c r="C23" s="125" t="str">
        <x:v>SEG-011-LP-0002</x:v>
      </x:c>
      <x:c r="D23" s="125" t="str">
        <x:v>rupture</x:v>
      </x:c>
      <x:c r="E23" s="125" t="str">
        <x:v>W01</x:v>
      </x:c>
      <x:c r="F23" s="125" t="str">
        <x:v>jet_fire</x:v>
      </x:c>
      <x:c r="G23" s="126" t="n">
        <x:v>4.7438999999999986e-8</x:v>
      </x:c>
      <x:c r="H23" s="157" t="n">
        <x:v>20290.556447348506</x:v>
      </x:c>
      <x:c r="I23" s="157" t="n">
        <x:v>2013.3311013229038</x:v>
      </x:c>
      <x:c r="J23" s="157" t="n">
        <x:v>0.00009551041411565721</x:v>
      </x:c>
      <x:c r="K23" s="141" t="n">
        <x:v>1</x:v>
      </x:c>
      <x:c r="L23" s="125" t="str">
        <x:v>POP-008</x:v>
      </x:c>
      <x:c r="M23" s="125" t="str">
        <x:v>thermal_radiation</x:v>
      </x:c>
      <x:c r="N23" s="125" t="n">
        <x:v>21.50243695102266</x:v>
      </x:c>
      <x:c r="O23" s="125" t="str">
        <x:v>kW/m2</x:v>
      </x:c>
    </x:row>
    <x:row r="24" ht="30" customHeight="1">
      <x:c r="A24" s="125" t="n">
        <x:v>20</x:v>
      </x:c>
      <x:c r="B24" s="125" t="str">
        <x:v>SEG-010</x:v>
      </x:c>
      <x:c r="C24" s="125" t="str">
        <x:v>SEG-010-LP-0005</x:v>
      </x:c>
      <x:c r="D24" s="125" t="str">
        <x:v>rupture</x:v>
      </x:c>
      <x:c r="E24" s="125" t="str">
        <x:v>W01</x:v>
      </x:c>
      <x:c r="F24" s="125" t="str">
        <x:v>jet_fire</x:v>
      </x:c>
      <x:c r="G24" s="126" t="n">
        <x:v>4.7439e-8</x:v>
      </x:c>
      <x:c r="H24" s="157" t="n">
        <x:v>20845.459911538233</x:v>
      </x:c>
      <x:c r="I24" s="157" t="n">
        <x:v>2004.5982719292676</x:v>
      </x:c>
      <x:c r="J24" s="157" t="n">
        <x:v>0.00009509613742205252</x:v>
      </x:c>
      <x:c r="K24" s="141" t="n">
        <x:v>1</x:v>
      </x:c>
      <x:c r="L24" s="125" t="str">
        <x:v>POP-008</x:v>
      </x:c>
      <x:c r="M24" s="125" t="str">
        <x:v>thermal_radiation</x:v>
      </x:c>
      <x:c r="N24" s="125" t="n">
        <x:v>16.42161223205844</x:v>
      </x:c>
      <x:c r="O24" s="125" t="str">
        <x:v>kW/m2</x:v>
      </x:c>
    </x:row>
    <x:row r="25" ht="30" customHeight="1">
      <x:c r="A25" s="125" t="n">
        <x:v>21</x:v>
      </x:c>
      <x:c r="B25" s="125" t="str">
        <x:v>SEG-012</x:v>
      </x:c>
      <x:c r="C25" s="125" t="str">
        <x:v>SEG-012-LP-0001</x:v>
      </x:c>
      <x:c r="D25" s="125" t="str">
        <x:v>rupture</x:v>
      </x:c>
      <x:c r="E25" s="125" t="str">
        <x:v>W02</x:v>
      </x:c>
      <x:c r="F25" s="125" t="str">
        <x:v>jet_fire</x:v>
      </x:c>
      <x:c r="G25" s="126" t="n">
        <x:v>3.9532499999999994e-8</x:v>
      </x:c>
      <x:c r="H25" s="157" t="n">
        <x:v>22654.18132788052</x:v>
      </x:c>
      <x:c r="I25" s="157" t="n">
        <x:v>2335.776924490702</x:v>
      </x:c>
      <x:c r="J25" s="157" t="n">
        <x:v>0.00009233910126742867</x:v>
      </x:c>
      <x:c r="K25" s="141" t="n">
        <x:v>1</x:v>
      </x:c>
      <x:c r="L25" s="125" t="str">
        <x:v>POP-008</x:v>
      </x:c>
      <x:c r="M25" s="125" t="str">
        <x:v>thermal_radiation</x:v>
      </x:c>
      <x:c r="N25" s="125" t="n">
        <x:v>49.635683347631485</x:v>
      </x:c>
      <x:c r="O25" s="125" t="str">
        <x:v>kW/m2</x:v>
      </x:c>
    </x:row>
    <x:row r="26" ht="30" customHeight="1">
      <x:c r="A26" s="125" t="n">
        <x:v>22</x:v>
      </x:c>
      <x:c r="B26" s="125" t="str">
        <x:v>SEG-012</x:v>
      </x:c>
      <x:c r="C26" s="125" t="str">
        <x:v>SEG-012-LP-0001</x:v>
      </x:c>
      <x:c r="D26" s="125" t="str">
        <x:v>rupture</x:v>
      </x:c>
      <x:c r="E26" s="125" t="str">
        <x:v>W04</x:v>
      </x:c>
      <x:c r="F26" s="125" t="str">
        <x:v>jet_fire</x:v>
      </x:c>
      <x:c r="G26" s="126" t="n">
        <x:v>3.9532499999999994e-8</x:v>
      </x:c>
      <x:c r="H26" s="157" t="n">
        <x:v>22654.18132788052</x:v>
      </x:c>
      <x:c r="I26" s="157" t="n">
        <x:v>2335.776924490702</x:v>
      </x:c>
      <x:c r="J26" s="157" t="n">
        <x:v>0.00009233910126742867</x:v>
      </x:c>
      <x:c r="K26" s="141" t="n">
        <x:v>1</x:v>
      </x:c>
      <x:c r="L26" s="125" t="str">
        <x:v>POP-008</x:v>
      </x:c>
      <x:c r="M26" s="125" t="str">
        <x:v>thermal_radiation</x:v>
      </x:c>
      <x:c r="N26" s="125" t="n">
        <x:v>49.635683347631485</x:v>
      </x:c>
      <x:c r="O26" s="125" t="str">
        <x:v>kW/m2</x:v>
      </x:c>
    </x:row>
    <x:row r="27" ht="30" customHeight="1">
      <x:c r="A27" s="125" t="n">
        <x:v>23</x:v>
      </x:c>
      <x:c r="B27" s="125" t="str">
        <x:v>SEG-012</x:v>
      </x:c>
      <x:c r="C27" s="125" t="str">
        <x:v>SEG-012-LP-0002</x:v>
      </x:c>
      <x:c r="D27" s="125" t="str">
        <x:v>rupture</x:v>
      </x:c>
      <x:c r="E27" s="125" t="str">
        <x:v>W02</x:v>
      </x:c>
      <x:c r="F27" s="125" t="str">
        <x:v>jet_fire</x:v>
      </x:c>
      <x:c r="G27" s="126" t="n">
        <x:v>3.9532499999999994e-8</x:v>
      </x:c>
      <x:c r="H27" s="157" t="n">
        <x:v>20290.556447348506</x:v>
      </x:c>
      <x:c r="I27" s="157" t="n">
        <x:v>2334.1474537460263</x:v>
      </x:c>
      <x:c r="J27" s="157" t="n">
        <x:v>0.00009227468421521476</x:v>
      </x:c>
      <x:c r="K27" s="141" t="n">
        <x:v>1</x:v>
      </x:c>
      <x:c r="L27" s="125" t="str">
        <x:v>POP-008</x:v>
      </x:c>
      <x:c r="M27" s="125" t="str">
        <x:v>thermal_radiation</x:v>
      </x:c>
      <x:c r="N27" s="125" t="n">
        <x:v>71.6073957090725</x:v>
      </x:c>
      <x:c r="O27" s="125" t="str">
        <x:v>kW/m2</x:v>
      </x:c>
    </x:row>
    <x:row r="28" ht="30" customHeight="1">
      <x:c r="A28" s="125" t="n">
        <x:v>24</x:v>
      </x:c>
      <x:c r="B28" s="125" t="str">
        <x:v>SEG-012</x:v>
      </x:c>
      <x:c r="C28" s="125" t="str">
        <x:v>SEG-012-LP-0002</x:v>
      </x:c>
      <x:c r="D28" s="125" t="str">
        <x:v>rupture</x:v>
      </x:c>
      <x:c r="E28" s="125" t="str">
        <x:v>W04</x:v>
      </x:c>
      <x:c r="F28" s="125" t="str">
        <x:v>jet_fire</x:v>
      </x:c>
      <x:c r="G28" s="126" t="n">
        <x:v>3.9532499999999994e-8</x:v>
      </x:c>
      <x:c r="H28" s="157" t="n">
        <x:v>20290.556447348506</x:v>
      </x:c>
      <x:c r="I28" s="157" t="n">
        <x:v>2334.1474537460263</x:v>
      </x:c>
      <x:c r="J28" s="157" t="n">
        <x:v>0.00009227468421521476</x:v>
      </x:c>
      <x:c r="K28" s="141" t="n">
        <x:v>1</x:v>
      </x:c>
      <x:c r="L28" s="125" t="str">
        <x:v>POP-008</x:v>
      </x:c>
      <x:c r="M28" s="125" t="str">
        <x:v>thermal_radiation</x:v>
      </x:c>
      <x:c r="N28" s="125" t="n">
        <x:v>71.6073957090725</x:v>
      </x:c>
      <x:c r="O28" s="125" t="str">
        <x:v>kW/m2</x:v>
      </x:c>
    </x:row>
    <x:row r="29" ht="30" customHeight="1">
      <x:c r="A29" s="125" t="n">
        <x:v>25</x:v>
      </x:c>
      <x:c r="B29" s="125" t="str">
        <x:v>SEG-012</x:v>
      </x:c>
      <x:c r="C29" s="125" t="str">
        <x:v>SEG-012-LP-0003</x:v>
      </x:c>
      <x:c r="D29" s="125" t="str">
        <x:v>rupture</x:v>
      </x:c>
      <x:c r="E29" s="125" t="str">
        <x:v>W02</x:v>
      </x:c>
      <x:c r="F29" s="125" t="str">
        <x:v>jet_fire</x:v>
      </x:c>
      <x:c r="G29" s="126" t="n">
        <x:v>3.9532499999999994e-8</x:v>
      </x:c>
      <x:c r="H29" s="157" t="n">
        <x:v>19402.631664138586</x:v>
      </x:c>
      <x:c r="I29" s="157" t="n">
        <x:v>2332.180770562715</x:v>
      </x:c>
      <x:c r="J29" s="157" t="n">
        <x:v>0.00009219693631227052</x:v>
      </x:c>
      <x:c r="K29" s="141" t="n">
        <x:v>1</x:v>
      </x:c>
      <x:c r="L29" s="125" t="str">
        <x:v>POP-008</x:v>
      </x:c>
      <x:c r="M29" s="125" t="str">
        <x:v>thermal_radiation</x:v>
      </x:c>
      <x:c r="N29" s="125" t="n">
        <x:v>102.13911892399868</x:v>
      </x:c>
      <x:c r="O29" s="125" t="str">
        <x:v>kW/m2</x:v>
      </x:c>
    </x:row>
    <x:row r="30" ht="30" customHeight="1">
      <x:c r="A30" s="125" t="n">
        <x:v>26</x:v>
      </x:c>
      <x:c r="B30" s="125" t="str">
        <x:v>SEG-012</x:v>
      </x:c>
      <x:c r="C30" s="125" t="str">
        <x:v>SEG-012-LP-0003</x:v>
      </x:c>
      <x:c r="D30" s="125" t="str">
        <x:v>rupture</x:v>
      </x:c>
      <x:c r="E30" s="125" t="str">
        <x:v>W04</x:v>
      </x:c>
      <x:c r="F30" s="125" t="str">
        <x:v>jet_fire</x:v>
      </x:c>
      <x:c r="G30" s="126" t="n">
        <x:v>3.9532499999999994e-8</x:v>
      </x:c>
      <x:c r="H30" s="157" t="n">
        <x:v>19402.631664138586</x:v>
      </x:c>
      <x:c r="I30" s="157" t="n">
        <x:v>2332.180770562715</x:v>
      </x:c>
      <x:c r="J30" s="157" t="n">
        <x:v>0.00009219693631227052</x:v>
      </x:c>
      <x:c r="K30" s="141" t="n">
        <x:v>1</x:v>
      </x:c>
      <x:c r="L30" s="125" t="str">
        <x:v>POP-008</x:v>
      </x:c>
      <x:c r="M30" s="125" t="str">
        <x:v>thermal_radiation</x:v>
      </x:c>
      <x:c r="N30" s="125" t="n">
        <x:v>102.13911892399868</x:v>
      </x:c>
      <x:c r="O30" s="125" t="str">
        <x:v>kW/m2</x:v>
      </x:c>
    </x:row>
    <x:row r="31" ht="30" customHeight="1">
      <x:c r="A31" s="125" t="n">
        <x:v>27</x:v>
      </x:c>
      <x:c r="B31" s="125" t="str">
        <x:v>SEG-012</x:v>
      </x:c>
      <x:c r="C31" s="125" t="str">
        <x:v>SEG-012-LP-0004</x:v>
      </x:c>
      <x:c r="D31" s="125" t="str">
        <x:v>rupture</x:v>
      </x:c>
      <x:c r="E31" s="125" t="str">
        <x:v>W02</x:v>
      </x:c>
      <x:c r="F31" s="125" t="str">
        <x:v>jet_fire</x:v>
      </x:c>
      <x:c r="G31" s="126" t="n">
        <x:v>3.9532499999999994e-8</x:v>
      </x:c>
      <x:c r="H31" s="157" t="n">
        <x:v>19152.133934657908</x:v>
      </x:c>
      <x:c r="I31" s="157" t="n">
        <x:v>2331.092926320769</x:v>
      </x:c>
      <x:c r="J31" s="157" t="n">
        <x:v>0.00009215393110977579</x:v>
      </x:c>
      <x:c r="K31" s="141" t="n">
        <x:v>1</x:v>
      </x:c>
      <x:c r="L31" s="125" t="str">
        <x:v>POP-008</x:v>
      </x:c>
      <x:c r="M31" s="125" t="str">
        <x:v>thermal_radiation</x:v>
      </x:c>
      <x:c r="N31" s="125" t="n">
        <x:v>147.23063924425844</x:v>
      </x:c>
      <x:c r="O31" s="125" t="str">
        <x:v>kW/m2</x:v>
      </x:c>
    </x:row>
    <x:row r="32" ht="30" customHeight="1">
      <x:c r="A32" s="125" t="n">
        <x:v>28</x:v>
      </x:c>
      <x:c r="B32" s="125" t="str">
        <x:v>SEG-012</x:v>
      </x:c>
      <x:c r="C32" s="125" t="str">
        <x:v>SEG-012-LP-0004</x:v>
      </x:c>
      <x:c r="D32" s="125" t="str">
        <x:v>rupture</x:v>
      </x:c>
      <x:c r="E32" s="125" t="str">
        <x:v>W04</x:v>
      </x:c>
      <x:c r="F32" s="125" t="str">
        <x:v>jet_fire</x:v>
      </x:c>
      <x:c r="G32" s="126" t="n">
        <x:v>3.9532499999999994e-8</x:v>
      </x:c>
      <x:c r="H32" s="157" t="n">
        <x:v>19152.133934657908</x:v>
      </x:c>
      <x:c r="I32" s="157" t="n">
        <x:v>2331.092926320769</x:v>
      </x:c>
      <x:c r="J32" s="157" t="n">
        <x:v>0.00009215393110977579</x:v>
      </x:c>
      <x:c r="K32" s="141" t="n">
        <x:v>1</x:v>
      </x:c>
      <x:c r="L32" s="125" t="str">
        <x:v>POP-008</x:v>
      </x:c>
      <x:c r="M32" s="125" t="str">
        <x:v>thermal_radiation</x:v>
      </x:c>
      <x:c r="N32" s="125" t="n">
        <x:v>147.23063924425844</x:v>
      </x:c>
      <x:c r="O32" s="125" t="str">
        <x:v>kW/m2</x:v>
      </x:c>
    </x:row>
    <x:row r="33" ht="30" customHeight="1">
      <x:c r="A33" s="125" t="n">
        <x:v>29</x:v>
      </x:c>
      <x:c r="B33" s="125" t="str">
        <x:v>SEG-012</x:v>
      </x:c>
      <x:c r="C33" s="125" t="str">
        <x:v>SEG-012-LP-0007</x:v>
      </x:c>
      <x:c r="D33" s="125" t="str">
        <x:v>rupture</x:v>
      </x:c>
      <x:c r="E33" s="125" t="str">
        <x:v>W02</x:v>
      </x:c>
      <x:c r="F33" s="125" t="str">
        <x:v>jet_fire</x:v>
      </x:c>
      <x:c r="G33" s="126" t="n">
        <x:v>3.9532499999999994e-8</x:v>
      </x:c>
      <x:c r="H33" s="157" t="n">
        <x:v>22654.18132788052</x:v>
      </x:c>
      <x:c r="I33" s="157" t="n">
        <x:v>2331.0520798119314</x:v>
      </x:c>
      <x:c r="J33" s="157" t="n">
        <x:v>0.00009215231634516516</x:v>
      </x:c>
      <x:c r="K33" s="141" t="n">
        <x:v>1</x:v>
      </x:c>
      <x:c r="L33" s="125" t="str">
        <x:v>POP-008</x:v>
      </x:c>
      <x:c r="M33" s="125" t="str">
        <x:v>thermal_radiation</x:v>
      </x:c>
      <x:c r="N33" s="125" t="n">
        <x:v>306.0177025243165</x:v>
      </x:c>
      <x:c r="O33" s="125" t="str">
        <x:v>kW/m2</x:v>
      </x:c>
    </x:row>
    <x:row r="34" ht="30" customHeight="1">
      <x:c r="A34" s="125" t="n">
        <x:v>30</x:v>
      </x:c>
      <x:c r="B34" s="125" t="str">
        <x:v>SEG-012</x:v>
      </x:c>
      <x:c r="C34" s="125" t="str">
        <x:v>SEG-012-LP-0007</x:v>
      </x:c>
      <x:c r="D34" s="125" t="str">
        <x:v>rupture</x:v>
      </x:c>
      <x:c r="E34" s="125" t="str">
        <x:v>W04</x:v>
      </x:c>
      <x:c r="F34" s="125" t="str">
        <x:v>jet_fire</x:v>
      </x:c>
      <x:c r="G34" s="126" t="n">
        <x:v>3.9532499999999994e-8</x:v>
      </x:c>
      <x:c r="H34" s="157" t="n">
        <x:v>22654.18132788052</x:v>
      </x:c>
      <x:c r="I34" s="157" t="n">
        <x:v>2331.0520798119314</x:v>
      </x:c>
      <x:c r="J34" s="157" t="n">
        <x:v>0.00009215231634516516</x:v>
      </x:c>
      <x:c r="K34" s="141" t="n">
        <x:v>1</x:v>
      </x:c>
      <x:c r="L34" s="125" t="str">
        <x:v>POP-008</x:v>
      </x:c>
      <x:c r="M34" s="125" t="str">
        <x:v>thermal_radiation</x:v>
      </x:c>
      <x:c r="N34" s="125" t="n">
        <x:v>306.0177025243165</x:v>
      </x:c>
      <x:c r="O34" s="125" t="str">
        <x:v>kW/m2</x:v>
      </x:c>
    </x:row>
    <x:row r="35" ht="30" customHeight="1">
      <x:c r="A35" s="125" t="n">
        <x:v>31</x:v>
      </x:c>
      <x:c r="B35" s="125" t="str">
        <x:v>SEG-012</x:v>
      </x:c>
      <x:c r="C35" s="125" t="str">
        <x:v>SEG-012-LP-0005</x:v>
      </x:c>
      <x:c r="D35" s="125" t="str">
        <x:v>rupture</x:v>
      </x:c>
      <x:c r="E35" s="125" t="str">
        <x:v>W02</x:v>
      </x:c>
      <x:c r="F35" s="125" t="str">
        <x:v>jet_fire</x:v>
      </x:c>
      <x:c r="G35" s="126" t="n">
        <x:v>3.9532499999999994e-8</x:v>
      </x:c>
      <x:c r="H35" s="157" t="n">
        <x:v>19402.631664138586</x:v>
      </x:c>
      <x:c r="I35" s="157" t="n">
        <x:v>2330.640527899285</x:v>
      </x:c>
      <x:c r="J35" s="157" t="n">
        <x:v>0.00009213604666917848</x:v>
      </x:c>
      <x:c r="K35" s="141" t="n">
        <x:v>1</x:v>
      </x:c>
      <x:c r="L35" s="125" t="str">
        <x:v>POP-008</x:v>
      </x:c>
      <x:c r="M35" s="125" t="str">
        <x:v>thermal_radiation</x:v>
      </x:c>
      <x:c r="N35" s="125" t="n">
        <x:v>212.18166327838262</x:v>
      </x:c>
      <x:c r="O35" s="125" t="str">
        <x:v>kW/m2</x:v>
      </x:c>
    </x:row>
    <x:row r="36" ht="30" customHeight="1">
      <x:c r="A36" s="125" t="n">
        <x:v>32</x:v>
      </x:c>
      <x:c r="B36" s="125" t="str">
        <x:v>SEG-012</x:v>
      </x:c>
      <x:c r="C36" s="125" t="str">
        <x:v>SEG-012-LP-0005</x:v>
      </x:c>
      <x:c r="D36" s="125" t="str">
        <x:v>rupture</x:v>
      </x:c>
      <x:c r="E36" s="125" t="str">
        <x:v>W04</x:v>
      </x:c>
      <x:c r="F36" s="125" t="str">
        <x:v>jet_fire</x:v>
      </x:c>
      <x:c r="G36" s="126" t="n">
        <x:v>3.9532499999999994e-8</x:v>
      </x:c>
      <x:c r="H36" s="157" t="n">
        <x:v>19402.631664138586</x:v>
      </x:c>
      <x:c r="I36" s="157" t="n">
        <x:v>2330.640527899285</x:v>
      </x:c>
      <x:c r="J36" s="157" t="n">
        <x:v>0.00009213604666917848</x:v>
      </x:c>
      <x:c r="K36" s="141" t="n">
        <x:v>1</x:v>
      </x:c>
      <x:c r="L36" s="125" t="str">
        <x:v>POP-008</x:v>
      </x:c>
      <x:c r="M36" s="125" t="str">
        <x:v>thermal_radiation</x:v>
      </x:c>
      <x:c r="N36" s="125" t="n">
        <x:v>212.18166327838262</x:v>
      </x:c>
      <x:c r="O36" s="125" t="str">
        <x:v>kW/m2</x:v>
      </x:c>
    </x:row>
    <x:row r="37" ht="30" customHeight="1">
      <x:c r="A37" s="125" t="n">
        <x:v>33</x:v>
      </x:c>
      <x:c r="B37" s="125" t="str">
        <x:v>SEG-012</x:v>
      </x:c>
      <x:c r="C37" s="125" t="str">
        <x:v>SEG-012-LP-0006</x:v>
      </x:c>
      <x:c r="D37" s="125" t="str">
        <x:v>rupture</x:v>
      </x:c>
      <x:c r="E37" s="125" t="str">
        <x:v>W02</x:v>
      </x:c>
      <x:c r="F37" s="125" t="str">
        <x:v>jet_fire</x:v>
      </x:c>
      <x:c r="G37" s="126" t="n">
        <x:v>3.9532499999999994e-8</x:v>
      </x:c>
      <x:c r="H37" s="157" t="n">
        <x:v>20290.556447348506</x:v>
      </x:c>
      <x:c r="I37" s="157" t="n">
        <x:v>2330.5470902037982</x:v>
      </x:c>
      <x:c r="J37" s="157" t="n">
        <x:v>0.00009213235284348164</x:v>
      </x:c>
      <x:c r="K37" s="141" t="n">
        <x:v>1</x:v>
      </x:c>
      <x:c r="L37" s="125" t="str">
        <x:v>POP-008</x:v>
      </x:c>
      <x:c r="M37" s="125" t="str">
        <x:v>thermal_radiation</x:v>
      </x:c>
      <x:c r="N37" s="125" t="n">
        <x:v>289.22323126656664</x:v>
      </x:c>
      <x:c r="O37" s="125" t="str">
        <x:v>kW/m2</x:v>
      </x:c>
    </x:row>
    <x:row r="38" ht="30" customHeight="1">
      <x:c r="A38" s="125" t="n">
        <x:v>34</x:v>
      </x:c>
      <x:c r="B38" s="125" t="str">
        <x:v>SEG-012</x:v>
      </x:c>
      <x:c r="C38" s="125" t="str">
        <x:v>SEG-012-LP-0006</x:v>
      </x:c>
      <x:c r="D38" s="125" t="str">
        <x:v>rupture</x:v>
      </x:c>
      <x:c r="E38" s="125" t="str">
        <x:v>W04</x:v>
      </x:c>
      <x:c r="F38" s="125" t="str">
        <x:v>jet_fire</x:v>
      </x:c>
      <x:c r="G38" s="126" t="n">
        <x:v>3.9532499999999994e-8</x:v>
      </x:c>
      <x:c r="H38" s="157" t="n">
        <x:v>20290.556447348506</x:v>
      </x:c>
      <x:c r="I38" s="157" t="n">
        <x:v>2330.5470902037982</x:v>
      </x:c>
      <x:c r="J38" s="157" t="n">
        <x:v>0.00009213235284348164</x:v>
      </x:c>
      <x:c r="K38" s="141" t="n">
        <x:v>1</x:v>
      </x:c>
      <x:c r="L38" s="125" t="str">
        <x:v>POP-008</x:v>
      </x:c>
      <x:c r="M38" s="125" t="str">
        <x:v>thermal_radiation</x:v>
      </x:c>
      <x:c r="N38" s="125" t="n">
        <x:v>289.22323126656664</x:v>
      </x:c>
      <x:c r="O38" s="125" t="str">
        <x:v>kW/m2</x:v>
      </x:c>
    </x:row>
    <x:row r="39" ht="30" customHeight="1">
      <x:c r="A39" s="125" t="n">
        <x:v>35</x:v>
      </x:c>
      <x:c r="B39" s="125" t="str">
        <x:v>SEG-010</x:v>
      </x:c>
      <x:c r="C39" s="125" t="str">
        <x:v>SEG-010-LP-0001</x:v>
      </x:c>
      <x:c r="D39" s="125" t="str">
        <x:v>rupture</x:v>
      </x:c>
      <x:c r="E39" s="125" t="str">
        <x:v>W04</x:v>
      </x:c>
      <x:c r="F39" s="125" t="str">
        <x:v>flash_fire</x:v>
      </x:c>
      <x:c r="G39" s="126" t="n">
        <x:v>4.444563100739506e-8</x:v>
      </x:c>
      <x:c r="H39" s="157" t="n">
        <x:v>23106.87162370006</x:v>
      </x:c>
      <x:c r="I39" s="157" t="n">
        <x:v>2030</x:v>
      </x:c>
      <x:c r="J39" s="157" t="n">
        <x:v>0.00009022463094501197</x:v>
      </x:c>
      <x:c r="K39" s="141" t="n">
        <x:v>1</x:v>
      </x:c>
      <x:c r="L39" s="125" t="str">
        <x:v>POP-005</x:v>
      </x:c>
      <x:c r="M39" s="125" t="str">
        <x:v>flammable_gas_concentration</x:v>
      </x:c>
      <x:c r="N39" s="125" t="n">
        <x:v>0.038867325842150545</x:v>
      </x:c>
      <x:c r="O39" s="125" t="str">
        <x:v>kg/m3</x:v>
      </x:c>
    </x:row>
    <x:row r="40" ht="30" customHeight="1">
      <x:c r="A40" s="125" t="n">
        <x:v>36</x:v>
      </x:c>
      <x:c r="B40" s="125" t="str">
        <x:v>SEG-010</x:v>
      </x:c>
      <x:c r="C40" s="125" t="str">
        <x:v>SEG-010-LP-0005</x:v>
      </x:c>
      <x:c r="D40" s="125" t="str">
        <x:v>rupture</x:v>
      </x:c>
      <x:c r="E40" s="125" t="str">
        <x:v>W04</x:v>
      </x:c>
      <x:c r="F40" s="125" t="str">
        <x:v>flash_fire</x:v>
      </x:c>
      <x:c r="G40" s="126" t="n">
        <x:v>4.444563100739506e-8</x:v>
      </x:c>
      <x:c r="H40" s="157" t="n">
        <x:v>20845.459911538233</x:v>
      </x:c>
      <x:c r="I40" s="157" t="n">
        <x:v>2030</x:v>
      </x:c>
      <x:c r="J40" s="157" t="n">
        <x:v>0.00009022463094501197</x:v>
      </x:c>
      <x:c r="K40" s="141" t="n">
        <x:v>1</x:v>
      </x:c>
      <x:c r="L40" s="125" t="str">
        <x:v>POP-005</x:v>
      </x:c>
      <x:c r="M40" s="125" t="str">
        <x:v>flammable_gas_concentration</x:v>
      </x:c>
      <x:c r="N40" s="125" t="n">
        <x:v>0.04037501320735926</x:v>
      </x:c>
      <x:c r="O40" s="125" t="str">
        <x:v>kg/m3</x:v>
      </x:c>
    </x:row>
    <x:row r="41" ht="30" customHeight="1">
      <x:c r="A41" s="125" t="n">
        <x:v>37</x:v>
      </x:c>
      <x:c r="B41" s="125" t="str">
        <x:v>SEG-013</x:v>
      </x:c>
      <x:c r="C41" s="125" t="str">
        <x:v>SEG-013-LP-0001</x:v>
      </x:c>
      <x:c r="D41" s="125" t="str">
        <x:v>rupture</x:v>
      </x:c>
      <x:c r="E41" s="125" t="str">
        <x:v>W01</x:v>
      </x:c>
      <x:c r="F41" s="125" t="str">
        <x:v>jet_fire</x:v>
      </x:c>
      <x:c r="G41" s="126" t="n">
        <x:v>3.861e-8</x:v>
      </x:c>
      <x:c r="H41" s="157" t="n">
        <x:v>22274.449906397924</x:v>
      </x:c>
      <x:c r="I41" s="157" t="n">
        <x:v>2330.438943231432</x:v>
      </x:c>
      <x:c r="J41" s="157" t="n">
        <x:v>0.00008997824759816559</x:v>
      </x:c>
      <x:c r="K41" s="141" t="n">
        <x:v>1</x:v>
      </x:c>
      <x:c r="L41" s="125" t="str">
        <x:v>POP-008</x:v>
      </x:c>
      <x:c r="M41" s="125" t="str">
        <x:v>thermal_radiation</x:v>
      </x:c>
      <x:c r="N41" s="125" t="n">
        <x:v>592.8257030694308</x:v>
      </x:c>
      <x:c r="O41" s="125" t="str">
        <x:v>kW/m2</x:v>
      </x:c>
    </x:row>
    <x:row r="42" ht="30" customHeight="1">
      <x:c r="A42" s="125" t="n">
        <x:v>38</x:v>
      </x:c>
      <x:c r="B42" s="125" t="str">
        <x:v>SEG-014</x:v>
      </x:c>
      <x:c r="C42" s="125" t="str">
        <x:v>SEG-014-LP-0001</x:v>
      </x:c>
      <x:c r="D42" s="125" t="str">
        <x:v>rupture</x:v>
      </x:c>
      <x:c r="E42" s="125" t="str">
        <x:v>W01</x:v>
      </x:c>
      <x:c r="F42" s="125" t="str">
        <x:v>jet_fire</x:v>
      </x:c>
      <x:c r="G42" s="126" t="n">
        <x:v>3.861e-8</x:v>
      </x:c>
      <x:c r="H42" s="157" t="n">
        <x:v>22274.449906397924</x:v>
      </x:c>
      <x:c r="I42" s="157" t="n">
        <x:v>2330.0444021126505</x:v>
      </x:c>
      <x:c r="J42" s="157" t="n">
        <x:v>0.00008996301436556944</x:v>
      </x:c>
      <x:c r="K42" s="141" t="n">
        <x:v>1</x:v>
      </x:c>
      <x:c r="L42" s="125" t="str">
        <x:v>POP-008</x:v>
      </x:c>
      <x:c r="M42" s="125" t="str">
        <x:v>thermal_radiation</x:v>
      </x:c>
      <x:c r="N42" s="125" t="n">
        <x:v>205.87342700022833</x:v>
      </x:c>
      <x:c r="O42" s="125" t="str">
        <x:v>kW/m2</x:v>
      </x:c>
    </x:row>
    <x:row r="43" ht="30" customHeight="1">
      <x:c r="A43" s="125" t="n">
        <x:v>39</x:v>
      </x:c>
      <x:c r="B43" s="125" t="str">
        <x:v>SEG-014</x:v>
      </x:c>
      <x:c r="C43" s="125" t="str">
        <x:v>SEG-014-LP-0004</x:v>
      </x:c>
      <x:c r="D43" s="125" t="str">
        <x:v>rupture</x:v>
      </x:c>
      <x:c r="E43" s="125" t="str">
        <x:v>W01</x:v>
      </x:c>
      <x:c r="F43" s="125" t="str">
        <x:v>jet_fire</x:v>
      </x:c>
      <x:c r="G43" s="126" t="n">
        <x:v>3.861e-8</x:v>
      </x:c>
      <x:c r="H43" s="157" t="n">
        <x:v>18444.680926895646</x:v>
      </x:c>
      <x:c r="I43" s="157" t="n">
        <x:v>2330.0346241287625</x:v>
      </x:c>
      <x:c r="J43" s="157" t="n">
        <x:v>0.00008996263683761153</x:v>
      </x:c>
      <x:c r="K43" s="141" t="n">
        <x:v>1</x:v>
      </x:c>
      <x:c r="L43" s="125" t="str">
        <x:v>POP-008</x:v>
      </x:c>
      <x:c r="M43" s="125" t="str">
        <x:v>thermal_radiation</x:v>
      </x:c>
      <x:c r="N43" s="125" t="n">
        <x:v>41.47033110180542</x:v>
      </x:c>
      <x:c r="O43" s="125" t="str">
        <x:v>kW/m2</x:v>
      </x:c>
    </x:row>
    <x:row r="44" ht="30" customHeight="1">
      <x:c r="A44" s="125" t="n">
        <x:v>40</x:v>
      </x:c>
      <x:c r="B44" s="125" t="str">
        <x:v>SEG-013</x:v>
      </x:c>
      <x:c r="C44" s="125" t="str">
        <x:v>SEG-013-LP-0002</x:v>
      </x:c>
      <x:c r="D44" s="125" t="str">
        <x:v>rupture</x:v>
      </x:c>
      <x:c r="E44" s="125" t="str">
        <x:v>W01</x:v>
      </x:c>
      <x:c r="F44" s="125" t="str">
        <x:v>jet_fire</x:v>
      </x:c>
      <x:c r="G44" s="126" t="n">
        <x:v>3.861e-8</x:v>
      </x:c>
      <x:c r="H44" s="157" t="n">
        <x:v>19837.866151528968</x:v>
      </x:c>
      <x:c r="I44" s="157" t="n">
        <x:v>2330.026746899278</x:v>
      </x:c>
      <x:c r="J44" s="157" t="n">
        <x:v>0.00008996233269778111</x:v>
      </x:c>
      <x:c r="K44" s="141" t="n">
        <x:v>1</x:v>
      </x:c>
      <x:c r="L44" s="125" t="str">
        <x:v>POP-008</x:v>
      </x:c>
      <x:c r="M44" s="125" t="str">
        <x:v>thermal_radiation</x:v>
      </x:c>
      <x:c r="N44" s="125" t="n">
        <x:v>6787.810371030451</x:v>
      </x:c>
      <x:c r="O44" s="125" t="str">
        <x:v>kW/m2</x:v>
      </x:c>
    </x:row>
    <x:row r="45" ht="30" customHeight="1">
      <x:c r="A45" s="125" t="n">
        <x:v>41</x:v>
      </x:c>
      <x:c r="B45" s="125" t="str">
        <x:v>SEG-013</x:v>
      </x:c>
      <x:c r="C45" s="125" t="str">
        <x:v>SEG-013-LP-0008</x:v>
      </x:c>
      <x:c r="D45" s="125" t="str">
        <x:v>rupture</x:v>
      </x:c>
      <x:c r="E45" s="125" t="str">
        <x:v>W01</x:v>
      </x:c>
      <x:c r="F45" s="125" t="str">
        <x:v>jet_fire</x:v>
      </x:c>
      <x:c r="G45" s="126" t="n">
        <x:v>3.861e-8</x:v>
      </x:c>
      <x:c r="H45" s="157" t="n">
        <x:v>22274.449906397924</x:v>
      </x:c>
      <x:c r="I45" s="157" t="n">
        <x:v>2330.0224831647183</x:v>
      </x:c>
      <x:c r="J45" s="157" t="n">
        <x:v>0.00008996216807498977</x:v>
      </x:c>
      <x:c r="K45" s="141" t="n">
        <x:v>1</x:v>
      </x:c>
      <x:c r="L45" s="125" t="str">
        <x:v>POP-008</x:v>
      </x:c>
      <x:c r="M45" s="125" t="str">
        <x:v>thermal_radiation</x:v>
      </x:c>
      <x:c r="N45" s="125" t="n">
        <x:v>328.8580342477626</x:v>
      </x:c>
      <x:c r="O45" s="125" t="str">
        <x:v>kW/m2</x:v>
      </x:c>
    </x:row>
    <x:row r="46" ht="30" customHeight="1">
      <x:c r="A46" s="125" t="n">
        <x:v>42</x:v>
      </x:c>
      <x:c r="B46" s="125" t="str">
        <x:v>SEG-014</x:v>
      </x:c>
      <x:c r="C46" s="125" t="str">
        <x:v>SEG-014-LP-0003</x:v>
      </x:c>
      <x:c r="D46" s="125" t="str">
        <x:v>rupture</x:v>
      </x:c>
      <x:c r="E46" s="125" t="str">
        <x:v>W01</x:v>
      </x:c>
      <x:c r="F46" s="125" t="str">
        <x:v>jet_fire</x:v>
      </x:c>
      <x:c r="G46" s="126" t="n">
        <x:v>3.861e-8</x:v>
      </x:c>
      <x:c r="H46" s="157" t="n">
        <x:v>18847.728199948862</x:v>
      </x:c>
      <x:c r="I46" s="157" t="n">
        <x:v>2330.021225299798</x:v>
      </x:c>
      <x:c r="J46" s="157" t="n">
        <x:v>0.0000899621195088252</x:v>
      </x:c>
      <x:c r="K46" s="141" t="n">
        <x:v>1</x:v>
      </x:c>
      <x:c r="L46" s="125" t="str">
        <x:v>POP-008</x:v>
      </x:c>
      <x:c r="M46" s="125" t="str">
        <x:v>thermal_radiation</x:v>
      </x:c>
      <x:c r="N46" s="125" t="n">
        <x:v>55.73008697698096</x:v>
      </x:c>
      <x:c r="O46" s="125" t="str">
        <x:v>kW/m2</x:v>
      </x:c>
    </x:row>
    <x:row r="47" ht="30" customHeight="1">
      <x:c r="A47" s="125" t="n">
        <x:v>43</x:v>
      </x:c>
      <x:c r="B47" s="125" t="str">
        <x:v>SEG-014</x:v>
      </x:c>
      <x:c r="C47" s="125" t="str">
        <x:v>SEG-014-LP-0002</x:v>
      </x:c>
      <x:c r="D47" s="125" t="str">
        <x:v>rupture</x:v>
      </x:c>
      <x:c r="E47" s="125" t="str">
        <x:v>W01</x:v>
      </x:c>
      <x:c r="F47" s="125" t="str">
        <x:v>jet_fire</x:v>
      </x:c>
      <x:c r="G47" s="126" t="n">
        <x:v>3.861e-8</x:v>
      </x:c>
      <x:c r="H47" s="157" t="n">
        <x:v>19837.866151528968</x:v>
      </x:c>
      <x:c r="I47" s="157" t="n">
        <x:v>2330.0197412235257</x:v>
      </x:c>
      <x:c r="J47" s="157" t="n">
        <x:v>0.00008996206220864033</x:v>
      </x:c>
      <x:c r="K47" s="141" t="n">
        <x:v>1</x:v>
      </x:c>
      <x:c r="L47" s="125" t="str">
        <x:v>POP-008</x:v>
      </x:c>
      <x:c r="M47" s="125" t="str">
        <x:v>thermal_radiation</x:v>
      </x:c>
      <x:c r="N47" s="125" t="n">
        <x:v>87.14929564382837</x:v>
      </x:c>
      <x:c r="O47" s="125" t="str">
        <x:v>kW/m2</x:v>
      </x:c>
    </x:row>
    <x:row r="48" ht="30" customHeight="1">
      <x:c r="A48" s="125" t="n">
        <x:v>44</x:v>
      </x:c>
      <x:c r="B48" s="125" t="str">
        <x:v>SEG-013</x:v>
      </x:c>
      <x:c r="C48" s="125" t="str">
        <x:v>SEG-013-LP-0003</x:v>
      </x:c>
      <x:c r="D48" s="125" t="str">
        <x:v>rupture</x:v>
      </x:c>
      <x:c r="E48" s="125" t="str">
        <x:v>W01</x:v>
      </x:c>
      <x:c r="F48" s="125" t="str">
        <x:v>jet_fire</x:v>
      </x:c>
      <x:c r="G48" s="126" t="n">
        <x:v>3.861e-8</x:v>
      </x:c>
      <x:c r="H48" s="157" t="n">
        <x:v>18847.728199948862</x:v>
      </x:c>
      <x:c r="I48" s="157" t="n">
        <x:v>2330.0030982394424</x:v>
      </x:c>
      <x:c r="J48" s="157" t="n">
        <x:v>0.00008996141962302487</x:v>
      </x:c>
      <x:c r="K48" s="141" t="n">
        <x:v>1</x:v>
      </x:c>
      <x:c r="L48" s="125" t="str">
        <x:v>POP-008</x:v>
      </x:c>
      <x:c r="M48" s="125" t="str">
        <x:v>thermal_radiation</x:v>
      </x:c>
      <x:c r="N48" s="125" t="n">
        <x:v>14147.848663868928</x:v>
      </x:c>
      <x:c r="O48" s="125" t="str">
        <x:v>kW/m2</x:v>
      </x:c>
    </x:row>
    <x:row r="49" ht="30" customHeight="1">
      <x:c r="A49" s="125" t="n">
        <x:v>45</x:v>
      </x:c>
      <x:c r="B49" s="125" t="str">
        <x:v>SEG-013</x:v>
      </x:c>
      <x:c r="C49" s="125" t="str">
        <x:v>SEG-013-LP-0007</x:v>
      </x:c>
      <x:c r="D49" s="125" t="str">
        <x:v>rupture</x:v>
      </x:c>
      <x:c r="E49" s="125" t="str">
        <x:v>W01</x:v>
      </x:c>
      <x:c r="F49" s="125" t="str">
        <x:v>jet_fire</x:v>
      </x:c>
      <x:c r="G49" s="126" t="n">
        <x:v>3.861e-8</x:v>
      </x:c>
      <x:c r="H49" s="157" t="n">
        <x:v>19837.866151528968</x:v>
      </x:c>
      <x:c r="I49" s="157" t="n">
        <x:v>2330.001350959409</x:v>
      </x:c>
      <x:c r="J49" s="157" t="n">
        <x:v>0.00008996135216054278</x:v>
      </x:c>
      <x:c r="K49" s="141" t="n">
        <x:v>1</x:v>
      </x:c>
      <x:c r="L49" s="125" t="str">
        <x:v>POP-008</x:v>
      </x:c>
      <x:c r="M49" s="125" t="str">
        <x:v>thermal_radiation</x:v>
      </x:c>
      <x:c r="N49" s="125" t="n">
        <x:v>273.92951487306215</x:v>
      </x:c>
      <x:c r="O49" s="125" t="str">
        <x:v>kW/m2</x:v>
      </x:c>
    </x:row>
    <x:row r="50" ht="30" customHeight="1">
      <x:c r="A50" s="125" t="n">
        <x:v>46</x:v>
      </x:c>
      <x:c r="B50" s="125" t="str">
        <x:v>SEG-013</x:v>
      </x:c>
      <x:c r="C50" s="125" t="str">
        <x:v>SEG-013-LP-0004</x:v>
      </x:c>
      <x:c r="D50" s="125" t="str">
        <x:v>rupture</x:v>
      </x:c>
      <x:c r="E50" s="125" t="str">
        <x:v>W01</x:v>
      </x:c>
      <x:c r="F50" s="125" t="str">
        <x:v>jet_fire</x:v>
      </x:c>
      <x:c r="G50" s="126" t="n">
        <x:v>3.861e-8</x:v>
      </x:c>
      <x:c r="H50" s="157" t="n">
        <x:v>18444.680926895646</x:v>
      </x:c>
      <x:c r="I50" s="157" t="n">
        <x:v>2330.0005775915533</x:v>
      </x:c>
      <x:c r="J50" s="157" t="n">
        <x:v>0.00008996132230080988</x:v>
      </x:c>
      <x:c r="K50" s="141" t="n">
        <x:v>1</x:v>
      </x:c>
      <x:c r="L50" s="125" t="str">
        <x:v>POP-008</x:v>
      </x:c>
      <x:c r="M50" s="125" t="str">
        <x:v>thermal_radiation</x:v>
      </x:c>
      <x:c r="N50" s="125" t="n">
        <x:v>1425.0879017833693</x:v>
      </x:c>
      <x:c r="O50" s="125" t="str">
        <x:v>kW/m2</x:v>
      </x:c>
    </x:row>
    <x:row r="51" ht="30" customHeight="1">
      <x:c r="A51" s="125" t="n">
        <x:v>47</x:v>
      </x:c>
      <x:c r="B51" s="125" t="str">
        <x:v>SEG-013</x:v>
      </x:c>
      <x:c r="C51" s="125" t="str">
        <x:v>SEG-013-LP-0006</x:v>
      </x:c>
      <x:c r="D51" s="125" t="str">
        <x:v>rupture</x:v>
      </x:c>
      <x:c r="E51" s="125" t="str">
        <x:v>W01</x:v>
      </x:c>
      <x:c r="F51" s="125" t="str">
        <x:v>jet_fire</x:v>
      </x:c>
      <x:c r="G51" s="126" t="n">
        <x:v>3.861e-8</x:v>
      </x:c>
      <x:c r="H51" s="157" t="n">
        <x:v>18847.728199948862</x:v>
      </x:c>
      <x:c r="I51" s="157" t="n">
        <x:v>2330.00022533861</x:v>
      </x:c>
      <x:c r="J51" s="157" t="n">
        <x:v>0.00008996130870032374</x:v>
      </x:c>
      <x:c r="K51" s="141" t="n">
        <x:v>1</x:v>
      </x:c>
      <x:c r="L51" s="125" t="str">
        <x:v>POP-008</x:v>
      </x:c>
      <x:c r="M51" s="125" t="str">
        <x:v>thermal_radiation</x:v>
      </x:c>
      <x:c r="N51" s="125" t="n">
        <x:v>344.6073767498363</x:v>
      </x:c>
      <x:c r="O51" s="125" t="str">
        <x:v>kW/m2</x:v>
      </x:c>
    </x:row>
    <x:row r="52" ht="30" customHeight="1">
      <x:c r="A52" s="125" t="n">
        <x:v>48</x:v>
      </x:c>
      <x:c r="B52" s="125" t="str">
        <x:v>SEG-013</x:v>
      </x:c>
      <x:c r="C52" s="125" t="str">
        <x:v>SEG-013-LP-0005</x:v>
      </x:c>
      <x:c r="D52" s="125" t="str">
        <x:v>rupture</x:v>
      </x:c>
      <x:c r="E52" s="125" t="str">
        <x:v>W01</x:v>
      </x:c>
      <x:c r="F52" s="125" t="str">
        <x:v>jet_fire</x:v>
      </x:c>
      <x:c r="G52" s="126" t="n">
        <x:v>3.861e-8</x:v>
      </x:c>
      <x:c r="H52" s="157" t="n">
        <x:v>18444.680926895646</x:v>
      </x:c>
      <x:c r="I52" s="157" t="n">
        <x:v>2330.0001916877463</x:v>
      </x:c>
      <x:c r="J52" s="157" t="n">
        <x:v>0.00008996130740106389</x:v>
      </x:c>
      <x:c r="K52" s="141" t="n">
        <x:v>1</x:v>
      </x:c>
      <x:c r="L52" s="125" t="str">
        <x:v>POP-008</x:v>
      </x:c>
      <x:c r="M52" s="125" t="str">
        <x:v>thermal_radiation</x:v>
      </x:c>
      <x:c r="N52" s="125" t="n">
        <x:v>569.0971035557044</x:v>
      </x:c>
      <x:c r="O52" s="125" t="str">
        <x:v>kW/m2</x:v>
      </x:c>
    </x:row>
    <x:row r="53" ht="30" customHeight="1">
      <x:c r="A53" s="125" t="n">
        <x:v>49</x:v>
      </x:c>
      <x:c r="B53" s="125" t="str">
        <x:v>SEG-011</x:v>
      </x:c>
      <x:c r="C53" s="125" t="str">
        <x:v>SEG-011-LP-0005</x:v>
      </x:c>
      <x:c r="D53" s="125" t="str">
        <x:v>rupture</x:v>
      </x:c>
      <x:c r="E53" s="125" t="str">
        <x:v>W02</x:v>
      </x:c>
      <x:c r="F53" s="125" t="str">
        <x:v>jet_fire</x:v>
      </x:c>
      <x:c r="G53" s="126" t="n">
        <x:v>3.9532499999999994e-8</x:v>
      </x:c>
      <x:c r="H53" s="157" t="n">
        <x:v>19402.631664138586</x:v>
      </x:c>
      <x:c r="I53" s="157" t="n">
        <x:v>2018.3698942853782</x:v>
      </x:c>
      <x:c r="J53" s="157" t="n">
        <x:v>0.0000797912078458367</x:v>
      </x:c>
      <x:c r="K53" s="141" t="n">
        <x:v>1</x:v>
      </x:c>
      <x:c r="L53" s="125" t="str">
        <x:v>POP-008</x:v>
      </x:c>
      <x:c r="M53" s="125" t="str">
        <x:v>thermal_radiation</x:v>
      </x:c>
      <x:c r="N53" s="125" t="n">
        <x:v>33.35149118525037</x:v>
      </x:c>
      <x:c r="O53" s="125" t="str">
        <x:v>kW/m2</x:v>
      </x:c>
    </x:row>
    <x:row r="54" ht="30" customHeight="1">
      <x:c r="A54" s="127" t="n">
        <x:v>50</x:v>
      </x:c>
      <x:c r="B54" s="127" t="str">
        <x:v>SEG-011</x:v>
      </x:c>
      <x:c r="C54" s="127" t="str">
        <x:v>SEG-011-LP-0005</x:v>
      </x:c>
      <x:c r="D54" s="127" t="str">
        <x:v>rupture</x:v>
      </x:c>
      <x:c r="E54" s="127" t="str">
        <x:v>W04</x:v>
      </x:c>
      <x:c r="F54" s="127" t="str">
        <x:v>jet_fire</x:v>
      </x:c>
      <x:c r="G54" s="128" t="n">
        <x:v>3.9532499999999994e-8</x:v>
      </x:c>
      <x:c r="H54" s="158" t="n">
        <x:v>19402.631664138586</x:v>
      </x:c>
      <x:c r="I54" s="158" t="n">
        <x:v>2018.3698942853782</x:v>
      </x:c>
      <x:c r="J54" s="158" t="n">
        <x:v>0.0000797912078458367</x:v>
      </x:c>
      <x:c r="K54" s="133" t="n">
        <x:v>1</x:v>
      </x:c>
      <x:c r="L54" s="127" t="str">
        <x:v>POP-008</x:v>
      </x:c>
      <x:c r="M54" s="127" t="str">
        <x:v>thermal_radiation</x:v>
      </x:c>
      <x:c r="N54" s="127" t="n">
        <x:v>33.35149118525037</x:v>
      </x:c>
      <x:c r="O54" s="127" t="str">
        <x:v>kW/m2</x:v>
      </x:c>
    </x:row>
  </x:sheetData>
  <x:mergeCells>
    <x:mergeCell ref="A1:O1"/>
    <x:mergeCell ref="A2:O2"/>
  </x:mergeCells>
  <x:conditionalFormatting sqref="J5:J54">
    <x:cfRule type="dataBar" priority="1">
      <x:dataBar>
        <x:cfvo type="min"/>
        <x:cfvo type="max"/>
        <x:color rgb="FF5B9BD5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6feee78d7c8406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20" hidden="0" customWidth="1"/>
    <x:col min="4" max="4" width="16" hidden="0" customWidth="1"/>
    <x:col min="5" max="5" width="3" hidden="0" customWidth="1"/>
    <x:col min="6" max="6" width="9" hidden="0" customWidth="1"/>
    <x:col min="7" max="7" width="56" hidden="0" customWidth="1"/>
    <x:col min="8" max="8" width="18" hidden="0" customWidth="1"/>
  </x:cols>
  <x:sheetData>
    <x:row r="1" ht="30" customHeight="1">
      <x:c r="A1" s="105" t="str">
        <x:v>AQ/T 3046物理后果模型说明</x:v>
      </x:c>
      <x:c r="B1" s="105" t="str">
        <x:v>AQ/T 3046物理后果模型说明</x:v>
      </x:c>
      <x:c r="C1" s="105" t="str">
        <x:v>AQ/T 3046物理后果模型说明</x:v>
      </x:c>
      <x:c r="D1" s="105" t="str">
        <x:v>AQ/T 3046物理后果模型说明</x:v>
      </x:c>
      <x:c r="E1" s="105" t="str">
        <x:v>AQ/T 3046物理后果模型说明</x:v>
      </x:c>
      <x:c r="F1" s="105" t="str">
        <x:v>AQ/T 3046物理后果模型说明</x:v>
      </x:c>
      <x:c r="G1" s="105" t="str">
        <x:v>AQ/T 3046物理后果模型说明</x:v>
      </x:c>
      <x:c r="H1" s="105" t="str">
        <x:v>AQ/T 3046物理后果模型说明</x:v>
      </x:c>
    </x:row>
    <x:row r="2" ht="32" customHeight="1">
      <x:c r="A2" s="106" t="str">
        <x:v>列出当前模型状态、公式追踪、释放率范围、假设和限制。</x:v>
      </x:c>
      <x:c r="B2" s="106" t="str">
        <x:v>列出当前模型状态、公式追踪、释放率范围、假设和限制。</x:v>
      </x:c>
      <x:c r="C2" s="106" t="str">
        <x:v>列出当前模型状态、公式追踪、释放率范围、假设和限制。</x:v>
      </x:c>
      <x:c r="D2" s="106" t="str">
        <x:v>列出当前模型状态、公式追踪、释放率范围、假设和限制。</x:v>
      </x:c>
      <x:c r="E2" s="106" t="str">
        <x:v>列出当前模型状态、公式追踪、释放率范围、假设和限制。</x:v>
      </x:c>
      <x:c r="F2" s="106" t="str">
        <x:v>列出当前模型状态、公式追踪、释放率范围、假设和限制。</x:v>
      </x:c>
      <x:c r="G2" s="106" t="str">
        <x:v>列出当前模型状态、公式追踪、释放率范围、假设和限制。</x:v>
      </x:c>
      <x:c r="H2" s="106" t="str">
        <x:v>列出当前模型状态、公式追踪、释放率范围、假设和限制。</x:v>
      </x:c>
    </x:row>
    <x:row r="3">
      <x:c r="A3" s="107"/>
      <x:c r="B3" s="107"/>
      <x:c r="C3" s="107"/>
      <x:c r="D3" s="107"/>
      <x:c r="E3" s="107"/>
      <x:c r="F3" s="107"/>
      <x:c r="G3" s="107"/>
      <x:c r="H3" s="107"/>
    </x:row>
    <x:row r="4" ht="32" customHeight="1">
      <x:c r="A4" s="129" t="str">
        <x:v>模型ID</x:v>
      </x:c>
      <x:c r="B4" s="123" t="str">
        <x:v>human.aqt3046.pipeline.v1</x:v>
      </x:c>
      <x:c r="C4" s="107"/>
      <x:c r="D4" s="107"/>
      <x:c r="E4" s="107"/>
      <x:c r="F4" s="122" t="str">
        <x:v>序号</x:v>
      </x:c>
      <x:c r="G4" s="122" t="str">
        <x:v>公式追踪</x:v>
      </x:c>
      <x:c r="H4" s="107"/>
    </x:row>
    <x:row r="5" ht="28" customHeight="1">
      <x:c r="A5" s="130" t="str">
        <x:v>模型版本</x:v>
      </x:c>
      <x:c r="B5" s="125" t="str">
        <x:v>0.2.0</x:v>
      </x:c>
      <x:c r="C5" s="107"/>
      <x:c r="D5" s="107"/>
      <x:c r="E5" s="107"/>
      <x:c r="F5" s="123" t="n">
        <x:v>1</x:v>
      </x:c>
      <x:c r="G5" s="123" t="str">
        <x:v>AQ/T 3046 E.8</x:v>
      </x:c>
      <x:c r="H5" s="107"/>
    </x:row>
    <x:row r="6" ht="28" customHeight="1">
      <x:c r="A6" s="130" t="str">
        <x:v>模型状态</x:v>
      </x:c>
      <x:c r="B6" s="125" t="str">
        <x:v>IMPLEMENTED_STANDARD_FORMULAS_PROVISIONAL_VALIDATION</x:v>
      </x:c>
      <x:c r="C6" s="107"/>
      <x:c r="D6" s="107"/>
      <x:c r="E6" s="107"/>
      <x:c r="F6" s="125" t="n">
        <x:v>2</x:v>
      </x:c>
      <x:c r="G6" s="125" t="str">
        <x:v>AQ/T 3046 E.13-E.17</x:v>
      </x:c>
      <x:c r="H6" s="107"/>
    </x:row>
    <x:row r="7" ht="28" customHeight="1">
      <x:c r="A7" s="130" t="str">
        <x:v>参数数据分类</x:v>
      </x:c>
      <x:c r="B7" s="125" t="str">
        <x:v>SYNTHETIC_TEST_ONLY</x:v>
      </x:c>
      <x:c r="C7" s="107"/>
      <x:c r="D7" s="107"/>
      <x:c r="E7" s="107"/>
      <x:c r="F7" s="125" t="n">
        <x:v>3</x:v>
      </x:c>
      <x:c r="G7" s="125" t="str">
        <x:v>AQ/T 3046 E.18-E.22</x:v>
      </x:c>
      <x:c r="H7" s="107"/>
    </x:row>
    <x:row r="8" ht="28" customHeight="1">
      <x:c r="A8" s="130" t="str">
        <x:v>外部软件依赖</x:v>
      </x:c>
      <x:c r="B8" s="125" t="str">
        <x:v>无</x:v>
      </x:c>
      <x:c r="C8" s="107"/>
      <x:c r="D8" s="107"/>
      <x:c r="E8" s="107"/>
      <x:c r="F8" s="125" t="n">
        <x:v>4</x:v>
      </x:c>
      <x:c r="G8" s="125" t="str">
        <x:v>AQ/T 3046 E.33 and Table E.7</x:v>
      </x:c>
      <x:c r="H8" s="107"/>
    </x:row>
    <x:row r="9" ht="28" customHeight="1">
      <x:c r="A9" s="132" t="str">
        <x:v>人员风险判定状态</x:v>
      </x:c>
      <x:c r="B9" s="127" t="str">
        <x:v>IR_JUDGED_WITH_GBT34346_REFERENCE_FN_NOT_JUDGED</x:v>
      </x:c>
      <x:c r="C9" s="107"/>
      <x:c r="D9" s="107"/>
      <x:c r="E9" s="107"/>
      <x:c r="F9" s="125" t="n">
        <x:v>5</x:v>
      </x:c>
      <x:c r="G9" s="125" t="str">
        <x:v>AQ/T 3046 E.57-E.59</x:v>
      </x:c>
      <x:c r="H9" s="107"/>
    </x:row>
    <x:row r="10" ht="28" customHeight="1">
      <x:c r="A10" s="107"/>
      <x:c r="B10" s="107"/>
      <x:c r="C10" s="107"/>
      <x:c r="D10" s="107"/>
      <x:c r="E10" s="107"/>
      <x:c r="F10" s="125" t="n">
        <x:v>6</x:v>
      </x:c>
      <x:c r="G10" s="125" t="str">
        <x:v>AQ/T 3046 E.60-E.62 and Figure E.1</x:v>
      </x:c>
      <x:c r="H10" s="107"/>
    </x:row>
    <x:row r="11" ht="28" customHeight="1">
      <x:c r="A11" s="122" t="str">
        <x:v>泄漏场景</x:v>
      </x:c>
      <x:c r="B11" s="122" t="str">
        <x:v>最小释放率kg/s</x:v>
      </x:c>
      <x:c r="C11" s="122" t="str">
        <x:v>最大释放率kg/s</x:v>
      </x:c>
      <x:c r="D11" s="122" t="str">
        <x:v>计算泄漏点数</x:v>
      </x:c>
      <x:c r="E11" s="107"/>
      <x:c r="F11" s="125" t="n">
        <x:v>7</x:v>
      </x:c>
      <x:c r="G11" s="125" t="str">
        <x:v>AQ/T 3046 clauses 10.3.1-10.4.2</x:v>
      </x:c>
      <x:c r="H11" s="107"/>
    </x:row>
    <x:row r="12" ht="28" customHeight="1">
      <x:c r="A12" s="123" t="str">
        <x:v>large_100mm</x:v>
      </x:c>
      <x:c r="B12" s="156" t="n">
        <x:v>116.3730470915159</x:v>
      </x:c>
      <x:c r="C12" s="156" t="n">
        <x:v>116.3730470915159</x:v>
      </x:c>
      <x:c r="D12" s="123" t="n">
        <x:v>160</x:v>
      </x:c>
      <x:c r="E12" s="107"/>
      <x:c r="F12" s="125" t="n">
        <x:v>8</x:v>
      </x:c>
      <x:c r="G12" s="125" t="str">
        <x:v>AQ/T 3046 equations 7-15</x:v>
      </x:c>
      <x:c r="H12" s="107"/>
    </x:row>
    <x:row r="13" ht="28" customHeight="1">
      <x:c r="A13" s="125" t="str">
        <x:v>medium_25mm</x:v>
      </x:c>
      <x:c r="B13" s="157" t="n">
        <x:v>7.273315443219744</x:v>
      </x:c>
      <x:c r="C13" s="157" t="n">
        <x:v>7.273315443219744</x:v>
      </x:c>
      <x:c r="D13" s="125" t="n">
        <x:v>160</x:v>
      </x:c>
      <x:c r="E13" s="107"/>
      <x:c r="F13" s="127" t="n">
        <x:v>9</x:v>
      </x:c>
      <x:c r="G13" s="127" t="str">
        <x:v>SY/T 6891.2 equations 1-6</x:v>
      </x:c>
      <x:c r="H13" s="107"/>
    </x:row>
    <x:row r="14" ht="30" customHeight="1">
      <x:c r="A14" s="125" t="str">
        <x:v>rupture</x:v>
      </x:c>
      <x:c r="B14" s="157" t="n">
        <x:v>17182.324454943657</x:v>
      </x:c>
      <x:c r="C14" s="157" t="n">
        <x:v>23106.87162370006</x:v>
      </x:c>
      <x:c r="D14" s="125" t="n">
        <x:v>160</x:v>
      </x:c>
      <x:c r="E14" s="107"/>
      <x:c r="F14" s="107"/>
      <x:c r="G14" s="107"/>
      <x:c r="H14" s="107"/>
    </x:row>
    <x:row r="15" ht="30" customHeight="1">
      <x:c r="A15" s="127" t="str">
        <x:v>small_5mm</x:v>
      </x:c>
      <x:c r="B15" s="158" t="n">
        <x:v>0.29093261772878976</x:v>
      </x:c>
      <x:c r="C15" s="158" t="n">
        <x:v>0.29093261772878976</x:v>
      </x:c>
      <x:c r="D15" s="127" t="n">
        <x:v>160</x:v>
      </x:c>
      <x:c r="E15" s="107"/>
      <x:c r="F15" s="107"/>
      <x:c r="G15" s="107"/>
      <x:c r="H15" s="107"/>
    </x:row>
    <x:row r="16">
      <x:c r="A16" s="107"/>
      <x:c r="B16" s="107"/>
      <x:c r="C16" s="107"/>
      <x:c r="D16" s="107"/>
      <x:c r="E16" s="107"/>
      <x:c r="F16" s="107"/>
      <x:c r="G16" s="107"/>
      <x:c r="H16" s="107"/>
    </x:row>
    <x:row r="17">
      <x:c r="A17" s="107"/>
      <x:c r="B17" s="107"/>
      <x:c r="C17" s="107"/>
      <x:c r="D17" s="107"/>
      <x:c r="E17" s="107"/>
      <x:c r="F17" s="107"/>
      <x:c r="G17" s="107"/>
      <x:c r="H17" s="107"/>
    </x:row>
    <x:row r="18">
      <x:c r="A18" s="134" t="str">
        <x:v>假设与限制</x:v>
      </x:c>
      <x:c r="B18" s="134" t="str">
        <x:v>假设与限制</x:v>
      </x:c>
      <x:c r="C18" s="134" t="str">
        <x:v>假设与限制</x:v>
      </x:c>
      <x:c r="D18" s="134" t="str">
        <x:v>假设与限制</x:v>
      </x:c>
      <x:c r="E18" s="134" t="str">
        <x:v>假设与限制</x:v>
      </x:c>
      <x:c r="F18" s="134" t="str">
        <x:v>假设与限制</x:v>
      </x:c>
      <x:c r="G18" s="134" t="str">
        <x:v>假设与限制</x:v>
      </x:c>
      <x:c r="H18" s="134" t="str">
        <x:v>假设与限制</x:v>
      </x:c>
    </x:row>
    <x:row r="19" ht="34" customHeight="1">
      <x:c r="A19" s="135" t="n">
        <x:v>1</x:v>
      </x:c>
      <x:c r="B19" s="135" t="str">
        <x:v>complete rupture uses the initial two-sided adiabatic choked-flow solution and does not yet solve transient line-pack depletion</x:v>
      </x:c>
      <x:c r="C19" s="135"/>
      <x:c r="D19" s="135"/>
      <x:c r="E19" s="135"/>
      <x:c r="F19" s="135"/>
      <x:c r="G19" s="135"/>
      <x:c r="H19" s="135"/>
    </x:row>
    <x:row r="20" ht="34" customHeight="1">
      <x:c r="A20" s="136" t="n">
        <x:v>2</x:v>
      </x:c>
      <x:c r="B20" s="136" t="str">
        <x:v>dispersion uses the AQ/T 3046 Pasquill-Gifford continuous plume; high-pressure near-field transition requires independent validation</x:v>
      </x:c>
      <x:c r="C20" s="136"/>
      <x:c r="D20" s="136"/>
      <x:c r="E20" s="136"/>
      <x:c r="F20" s="136"/>
      <x:c r="G20" s="136"/>
      <x:c r="H20" s="136"/>
    </x:row>
    <x:row r="21" ht="34" customHeight="1">
      <x:c r="A21" s="136" t="n">
        <x:v>3</x:v>
      </x:c>
      <x:c r="B21" s="136" t="str">
        <x:v>horizontal jet fire uses the conservative radial worst-case orientation envelope</x:v>
      </x:c>
      <x:c r="C21" s="136"/>
      <x:c r="D21" s="136"/>
      <x:c r="E21" s="136"/>
      <x:c r="F21" s="136"/>
      <x:c r="G21" s="136"/>
      <x:c r="H21" s="136"/>
    </x:row>
    <x:row r="22" ht="34" customHeight="1">
      <x:c r="A22" s="136" t="n">
        <x:v>4</x:v>
      </x:c>
      <x:c r="B22" s="136" t="str">
        <x:v>TNO explosion-source volume and source strength are explicit project inputs</x:v>
      </x:c>
      <x:c r="C22" s="136"/>
      <x:c r="D22" s="136"/>
      <x:c r="E22" s="136"/>
      <x:c r="F22" s="136"/>
      <x:c r="G22" s="136"/>
      <x:c r="H22" s="136"/>
    </x:row>
    <x:row r="23" ht="34" customHeight="1">
      <x:c r="A23" s="137" t="n">
        <x:v>5</x:v>
      </x:c>
      <x:c r="B23" s="137" t="str">
        <x:v>Figure E.1 curve points are digitized and remain provisional until independently benchmarked</x:v>
      </x:c>
      <x:c r="C23" s="137"/>
      <x:c r="D23" s="137"/>
      <x:c r="E23" s="137"/>
      <x:c r="F23" s="137"/>
      <x:c r="G23" s="137"/>
      <x:c r="H23" s="137"/>
    </x:row>
  </x:sheetData>
  <x:mergeCells>
    <x:mergeCell ref="A1:H1"/>
    <x:mergeCell ref="A2:H2"/>
    <x:mergeCell ref="A18:H18"/>
    <x:mergeCell ref="B19:H19"/>
    <x:mergeCell ref="B20:H20"/>
    <x:mergeCell ref="B21:H21"/>
    <x:mergeCell ref="B22:H22"/>
    <x:mergeCell ref="B23:H23"/>
  </x:mergeCells>
  <x:pageMargins left="0.7" right="0.7" top="0.75" bottom="0.75" header="0.3" footer="0.3"/>
  <x:tableParts count="2">
    <x:tablePart xmlns:r="http://schemas.openxmlformats.org/officeDocument/2006/relationships" r:id="R05f0b203d7084f2d"/>
    <x:tablePart xmlns:r="http://schemas.openxmlformats.org/officeDocument/2006/relationships" r:id="R3cc7125238aa471d"/>
  </x:tableParts>
</x:worksheet>
</file>